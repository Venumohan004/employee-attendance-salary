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u\projects\ms office pjt\"/>
    </mc:Choice>
  </mc:AlternateContent>
  <xr:revisionPtr revIDLastSave="0" documentId="13_ncr:1_{E1A7B80D-D506-4EF6-A31E-1976E7D9A9DC}" xr6:coauthVersionLast="47" xr6:coauthVersionMax="47" xr10:uidLastSave="{00000000-0000-0000-0000-000000000000}"/>
  <bookViews>
    <workbookView xWindow="-96" yWindow="0" windowWidth="11712" windowHeight="12336" firstSheet="1" activeTab="2" xr2:uid="{57E1A9F2-879C-4D06-8C46-C86C75726169}"/>
  </bookViews>
  <sheets>
    <sheet name="Employee_details" sheetId="1" r:id="rId1"/>
    <sheet name="Attendance" sheetId="2" r:id="rId2"/>
    <sheet name="Salary_calcul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F13" i="3" s="1"/>
  <c r="E14" i="3"/>
  <c r="E15" i="3"/>
  <c r="E16" i="3"/>
  <c r="F16" i="3" s="1"/>
  <c r="E17" i="3"/>
  <c r="G17" i="3" s="1"/>
  <c r="E24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G18" i="3" s="1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2" i="3"/>
  <c r="A31" i="3"/>
  <c r="E31" i="3" s="1"/>
  <c r="F31" i="3" s="1"/>
  <c r="A7" i="3"/>
  <c r="E7" i="3" s="1"/>
  <c r="F7" i="3" s="1"/>
  <c r="A8" i="3"/>
  <c r="E8" i="3" s="1"/>
  <c r="G8" i="3" s="1"/>
  <c r="A9" i="3"/>
  <c r="E9" i="3" s="1"/>
  <c r="A10" i="3"/>
  <c r="E10" i="3" s="1"/>
  <c r="A11" i="3"/>
  <c r="E11" i="3" s="1"/>
  <c r="F11" i="3" s="1"/>
  <c r="A12" i="3"/>
  <c r="A13" i="3"/>
  <c r="A14" i="3"/>
  <c r="A15" i="3"/>
  <c r="A16" i="3"/>
  <c r="A17" i="3"/>
  <c r="A18" i="3"/>
  <c r="E18" i="3" s="1"/>
  <c r="A19" i="3"/>
  <c r="E19" i="3" s="1"/>
  <c r="A20" i="3"/>
  <c r="E20" i="3" s="1"/>
  <c r="F20" i="3" s="1"/>
  <c r="A21" i="3"/>
  <c r="E21" i="3" s="1"/>
  <c r="F21" i="3" s="1"/>
  <c r="A22" i="3"/>
  <c r="E22" i="3" s="1"/>
  <c r="G22" i="3" s="1"/>
  <c r="A23" i="3"/>
  <c r="E23" i="3" s="1"/>
  <c r="F23" i="3" s="1"/>
  <c r="A24" i="3"/>
  <c r="A25" i="3"/>
  <c r="E25" i="3" s="1"/>
  <c r="G25" i="3" s="1"/>
  <c r="A26" i="3"/>
  <c r="E26" i="3" s="1"/>
  <c r="A27" i="3"/>
  <c r="E27" i="3" s="1"/>
  <c r="G27" i="3" s="1"/>
  <c r="A28" i="3"/>
  <c r="E28" i="3" s="1"/>
  <c r="F28" i="3" s="1"/>
  <c r="A29" i="3"/>
  <c r="E29" i="3" s="1"/>
  <c r="G29" i="3" s="1"/>
  <c r="A30" i="3"/>
  <c r="E30" i="3" s="1"/>
  <c r="F30" i="3" s="1"/>
  <c r="A3" i="3"/>
  <c r="E3" i="3" s="1"/>
  <c r="G3" i="3" s="1"/>
  <c r="A4" i="3"/>
  <c r="E4" i="3" s="1"/>
  <c r="F4" i="3" s="1"/>
  <c r="A5" i="3"/>
  <c r="E5" i="3" s="1"/>
  <c r="G5" i="3" s="1"/>
  <c r="A6" i="3"/>
  <c r="E6" i="3" s="1"/>
  <c r="A2" i="3"/>
  <c r="E2" i="3" s="1"/>
  <c r="F2" i="3" s="1"/>
  <c r="G9" i="3" l="1"/>
  <c r="H20" i="3"/>
  <c r="H7" i="3"/>
  <c r="H16" i="3"/>
  <c r="G24" i="3"/>
  <c r="G15" i="3"/>
  <c r="G14" i="3"/>
  <c r="H30" i="3"/>
  <c r="G12" i="3"/>
  <c r="G26" i="3"/>
  <c r="F19" i="3"/>
  <c r="F18" i="3"/>
  <c r="F6" i="3"/>
  <c r="G10" i="3"/>
  <c r="F25" i="3"/>
  <c r="H25" i="3" s="1"/>
  <c r="G23" i="3"/>
  <c r="H23" i="3" s="1"/>
  <c r="G21" i="3"/>
  <c r="H21" i="3" s="1"/>
  <c r="G20" i="3"/>
  <c r="G19" i="3"/>
  <c r="F17" i="3"/>
  <c r="H17" i="3" s="1"/>
  <c r="F5" i="3"/>
  <c r="H5" i="3" s="1"/>
  <c r="F29" i="3"/>
  <c r="H29" i="3" s="1"/>
  <c r="G11" i="3"/>
  <c r="H11" i="3" s="1"/>
  <c r="F27" i="3"/>
  <c r="H27" i="3" s="1"/>
  <c r="G7" i="3"/>
  <c r="F26" i="3"/>
  <c r="G6" i="3"/>
  <c r="F3" i="3"/>
  <c r="H3" i="3" s="1"/>
  <c r="F14" i="3"/>
  <c r="G31" i="3"/>
  <c r="H31" i="3" s="1"/>
  <c r="F24" i="3"/>
  <c r="H24" i="3" s="1"/>
  <c r="G16" i="3"/>
  <c r="G13" i="3"/>
  <c r="H13" i="3" s="1"/>
  <c r="F15" i="3"/>
  <c r="H15" i="3" s="1"/>
  <c r="G2" i="3"/>
  <c r="F12" i="3"/>
  <c r="G30" i="3"/>
  <c r="F22" i="3"/>
  <c r="H22" i="3" s="1"/>
  <c r="F10" i="3"/>
  <c r="H10" i="3" s="1"/>
  <c r="G28" i="3"/>
  <c r="H28" i="3" s="1"/>
  <c r="G4" i="3"/>
  <c r="H4" i="3" s="1"/>
  <c r="F9" i="3"/>
  <c r="F8" i="3"/>
  <c r="H8" i="3" s="1"/>
  <c r="H9" i="3" l="1"/>
  <c r="H14" i="3"/>
  <c r="H2" i="3"/>
  <c r="H26" i="3"/>
  <c r="H12" i="3"/>
  <c r="H18" i="3"/>
  <c r="H19" i="3"/>
  <c r="H6" i="3"/>
</calcChain>
</file>

<file path=xl/sharedStrings.xml><?xml version="1.0" encoding="utf-8"?>
<sst xmlns="http://schemas.openxmlformats.org/spreadsheetml/2006/main" count="1125" uniqueCount="115">
  <si>
    <t>Emp ID</t>
  </si>
  <si>
    <t>Name</t>
  </si>
  <si>
    <t>Department</t>
  </si>
  <si>
    <t>designation</t>
  </si>
  <si>
    <t>Basic Salary</t>
  </si>
  <si>
    <t>Per Day Salary</t>
  </si>
  <si>
    <t>E101</t>
  </si>
  <si>
    <t>Ravi</t>
  </si>
  <si>
    <t>IT</t>
  </si>
  <si>
    <t>Developer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</si>
  <si>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</si>
  <si>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</si>
  <si>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</si>
  <si>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</si>
  <si>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</si>
  <si>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</si>
  <si>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</si>
  <si>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</si>
  <si>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</si>
  <si>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</si>
  <si>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</si>
  <si>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</si>
  <si>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</si>
  <si>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</si>
  <si>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</si>
  <si>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</si>
  <si>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</si>
  <si>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</si>
  <si>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</si>
  <si>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</si>
  <si>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</si>
  <si>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</si>
  <si>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</si>
  <si>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</si>
  <si>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</si>
  <si>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</si>
  <si>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</si>
  <si>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</si>
  <si>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</si>
  <si>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</si>
  <si>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P</t>
  </si>
  <si>
    <t>A</t>
  </si>
  <si>
    <t>Present Days</t>
  </si>
  <si>
    <t>Absent Days</t>
  </si>
  <si>
    <t>Gross Salary</t>
  </si>
  <si>
    <t>Deductions</t>
  </si>
  <si>
    <t>Net Salary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</si>
  <si>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</si>
  <si>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</si>
  <si>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</si>
  <si>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</si>
  <si>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</si>
  <si>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</si>
  <si>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</si>
  <si>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</si>
  <si>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</si>
  <si>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</si>
  <si>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</si>
  <si>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</si>
  <si>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</si>
  <si>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</si>
  <si>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</si>
  <si>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</si>
  <si>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</si>
  <si>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</si>
  <si>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</si>
  <si>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</si>
  <si>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</si>
  <si>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</si>
  <si>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</si>
  <si>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</si>
  <si>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</si>
  <si>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</si>
  <si>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</si>
  <si>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</si>
  <si>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</si>
  <si>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Aravind</t>
  </si>
  <si>
    <t>Chran</t>
  </si>
  <si>
    <t>Venu</t>
  </si>
  <si>
    <t>Mohan</t>
  </si>
  <si>
    <t>Irfan</t>
  </si>
  <si>
    <t>Ram</t>
  </si>
  <si>
    <t>Mahendra</t>
  </si>
  <si>
    <t>Dastagiri</t>
  </si>
  <si>
    <t>peddana</t>
  </si>
  <si>
    <t>Vali</t>
  </si>
  <si>
    <t>Hussen</t>
  </si>
  <si>
    <t>Teja</t>
  </si>
  <si>
    <t>Surendra</t>
  </si>
  <si>
    <t>Bhanu</t>
  </si>
  <si>
    <t>Prakash</t>
  </si>
  <si>
    <t>Radha</t>
  </si>
  <si>
    <t>Ramana</t>
  </si>
  <si>
    <t>Mahesh</t>
  </si>
  <si>
    <t>Reddybhabu</t>
  </si>
  <si>
    <t>Sumanth</t>
  </si>
  <si>
    <t>Bharath</t>
  </si>
  <si>
    <t>Lakshmi</t>
  </si>
  <si>
    <t>Dharani</t>
  </si>
  <si>
    <t>Raju</t>
  </si>
  <si>
    <t>Lingamaiah</t>
  </si>
  <si>
    <t>Surya</t>
  </si>
  <si>
    <t>Venkata Kumar</t>
  </si>
  <si>
    <t>Vishnu</t>
  </si>
  <si>
    <t>Ramesh</t>
  </si>
  <si>
    <t>Mech</t>
  </si>
  <si>
    <t>HR</t>
  </si>
  <si>
    <t>Finance</t>
  </si>
  <si>
    <t>Testing</t>
  </si>
  <si>
    <t>Support</t>
  </si>
  <si>
    <t>Design Engineer</t>
  </si>
  <si>
    <t>HR Executive</t>
  </si>
  <si>
    <t>Accountant</t>
  </si>
  <si>
    <t>QA Engineer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</si>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</sst>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1" fillId="0" borderId="1" xfId="0" applyNumberFormat="1" applyFont="1" applyBorder="1"/>
    <xf numFmtId="164" fontId="0" fillId="0" borderId="1" xfId="0" applyNumberFormat="1" applyBorder="1"/>
    <xf numFmtId="44" fontId="0" fillId="0" borderId="1" xfId="0" applyNumberFormat="1" applyBorder="1"/>
  </cellXfs>
  <cellStyles count="1">
    <cellStyle name="Normal" xfId="0" builtinId="0"/>
  </cellStyles>
  <dxfs count="1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Salary_calculation!$H$1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Salary_calculation!$B$2:$B$31</c:f>
              <c:strCache>
                <c:ptCount val="30"/>
                <c:pt idx="0">
                  <c:v>Ravi</c:v>
                </c:pt>
                <c:pt idx="1">
                  <c:v>Aravind</c:v>
                </c:pt>
                <c:pt idx="2">
                  <c:v>Venu</c:v>
                </c:pt>
                <c:pt idx="3">
                  <c:v>Chran</c:v>
                </c:pt>
                <c:pt idx="4">
                  <c:v>Mohan</c:v>
                </c:pt>
                <c:pt idx="5">
                  <c:v>Irfan</c:v>
                </c:pt>
                <c:pt idx="6">
                  <c:v>Ram</c:v>
                </c:pt>
                <c:pt idx="7">
                  <c:v>Mahendra</c:v>
                </c:pt>
                <c:pt idx="8">
                  <c:v>Dastagiri</c:v>
                </c:pt>
                <c:pt idx="9">
                  <c:v>peddana</c:v>
                </c:pt>
                <c:pt idx="10">
                  <c:v>Hussen</c:v>
                </c:pt>
                <c:pt idx="11">
                  <c:v>Vali</c:v>
                </c:pt>
                <c:pt idx="12">
                  <c:v>Teja</c:v>
                </c:pt>
                <c:pt idx="13">
                  <c:v>Surendra</c:v>
                </c:pt>
                <c:pt idx="14">
                  <c:v>Bhanu</c:v>
                </c:pt>
                <c:pt idx="15">
                  <c:v>Prakash</c:v>
                </c:pt>
                <c:pt idx="16">
                  <c:v>Radha</c:v>
                </c:pt>
                <c:pt idx="17">
                  <c:v>Ramana</c:v>
                </c:pt>
                <c:pt idx="18">
                  <c:v>Mahesh</c:v>
                </c:pt>
                <c:pt idx="19">
                  <c:v>Reddybhabu</c:v>
                </c:pt>
                <c:pt idx="20">
                  <c:v>Sumanth</c:v>
                </c:pt>
                <c:pt idx="21">
                  <c:v>Bharath</c:v>
                </c:pt>
                <c:pt idx="22">
                  <c:v>Lakshmi</c:v>
                </c:pt>
                <c:pt idx="23">
                  <c:v>Dharani</c:v>
                </c:pt>
                <c:pt idx="24">
                  <c:v>Raju</c:v>
                </c:pt>
                <c:pt idx="25">
                  <c:v>Lingamaiah</c:v>
                </c:pt>
                <c:pt idx="26">
                  <c:v>Surya</c:v>
                </c:pt>
                <c:pt idx="27">
                  <c:v>Venkata Kumar</c:v>
                </c:pt>
                <c:pt idx="28">
                  <c:v>Vishnu</c:v>
                </c:pt>
                <c:pt idx="29">
                  <c:v>Ramesh</c:v>
                </c:pt>
              </c:strCache>
            </c:strRef>
          </c:cat>
          <c:val>
            <c:numRef>
              <c:f>Salary_calculation!$H$2:$H$31</c:f>
              <c:numCache>
                <c:formatCode>"₹"\ #,##0.00</c:formatCode>
                <c:ptCount val="30"/>
                <c:pt idx="0" formatCode="_(&quot;₹&quot;* #,##0.00_);_(&quot;₹&quot;* \(#,##0.00\);_(&quot;₹&quot;* &quot;-&quot;??_);_(@_)">
                  <c:v>14990</c:v>
                </c:pt>
                <c:pt idx="1">
                  <c:v>24990</c:v>
                </c:pt>
                <c:pt idx="2">
                  <c:v>27990</c:v>
                </c:pt>
                <c:pt idx="3">
                  <c:v>9000</c:v>
                </c:pt>
                <c:pt idx="4">
                  <c:v>25980</c:v>
                </c:pt>
                <c:pt idx="5">
                  <c:v>22980</c:v>
                </c:pt>
                <c:pt idx="6">
                  <c:v>30000</c:v>
                </c:pt>
                <c:pt idx="7">
                  <c:v>11662</c:v>
                </c:pt>
                <c:pt idx="8">
                  <c:v>27990</c:v>
                </c:pt>
                <c:pt idx="9">
                  <c:v>9000</c:v>
                </c:pt>
                <c:pt idx="10">
                  <c:v>25980</c:v>
                </c:pt>
                <c:pt idx="11">
                  <c:v>22980</c:v>
                </c:pt>
                <c:pt idx="12">
                  <c:v>10000</c:v>
                </c:pt>
                <c:pt idx="13">
                  <c:v>8330</c:v>
                </c:pt>
                <c:pt idx="14">
                  <c:v>9330</c:v>
                </c:pt>
                <c:pt idx="15">
                  <c:v>27000</c:v>
                </c:pt>
                <c:pt idx="16">
                  <c:v>8660</c:v>
                </c:pt>
                <c:pt idx="17">
                  <c:v>7660</c:v>
                </c:pt>
                <c:pt idx="18">
                  <c:v>10000</c:v>
                </c:pt>
                <c:pt idx="19">
                  <c:v>8330</c:v>
                </c:pt>
                <c:pt idx="20">
                  <c:v>27990</c:v>
                </c:pt>
                <c:pt idx="21">
                  <c:v>9000</c:v>
                </c:pt>
                <c:pt idx="22">
                  <c:v>25980</c:v>
                </c:pt>
                <c:pt idx="23">
                  <c:v>22980</c:v>
                </c:pt>
                <c:pt idx="24">
                  <c:v>30000</c:v>
                </c:pt>
                <c:pt idx="25">
                  <c:v>-8330</c:v>
                </c:pt>
                <c:pt idx="26">
                  <c:v>27990</c:v>
                </c:pt>
                <c:pt idx="27">
                  <c:v>9000</c:v>
                </c:pt>
                <c:pt idx="28">
                  <c:v>25980</c:v>
                </c:pt>
                <c:pt idx="29">
                  <c:v>22980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1-454D-B8B8-F3A90D59C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93529423"/>
        <c:axId val="1593529903"/>
        <c:axId val="0"/>
      </c:bar3DChart>
      <c:catAx>
        <c:axId val="159352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29903"/>
        <c:crosses val="autoZero"/>
        <c:auto val="1"/>
        <c:lblAlgn val="ctr"/>
        <c:lblOffset val="100"/>
        <c:noMultiLvlLbl val="0"/>
      </c:catAx>
      <c:valAx>
        <c:axId val="15935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52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411382</xdr:colOff>
      <xdr:row>32</xdr:row>
      <xdr:rowOff>66468</xdr:rowOff>
    </xdr:from>
    <xdr:to>
      <xdr:col>7</xdr:col>
      <xdr:colOff>336699</xdr:colOff>
      <xdr:row>47</xdr:row>
      <xdr:rowOff>124047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59EA1CA-44F3-5BAB-9988-099F40C0A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E4CC6F-2806-4E10-95F8-75F06C53B564}" name="Table2" displayName="Table2" ref="A1:AE31" totalsRowShown="0" headerRowDxfId="14">
  <autoFilter ref="A1:AE31" xr:uid="{CFE4CC6F-2806-4E10-95F8-75F06C53B564}"/>
  <tableColumns count="31">
    <tableColumn id="1" xr3:uid="{38177051-C285-4206-865C-CA33436552DC}" name="Emp ID"/>
    <tableColumn id="2" xr3:uid="{7CA5B0F4-5956-4521-93F6-A2870F2445E3}" name="Day1"/>
    <tableColumn id="3" xr3:uid="{9DE00C4C-8D6E-48F1-A564-BD756700EB59}" name="Day2"/>
    <tableColumn id="4" xr3:uid="{244490E5-E945-4A5E-B01D-76117B58E136}" name="Day3"/>
    <tableColumn id="5" xr3:uid="{1CC2F0BA-5DE6-4A60-BEC9-275F4B8DFDAC}" name="Day4"/>
    <tableColumn id="6" xr3:uid="{48849807-9A5D-4E46-9C4D-02C3CFCD782E}" name="Day5"/>
    <tableColumn id="7" xr3:uid="{28BD92C0-A667-4D27-8AE1-16647A8E3228}" name="Day6"/>
    <tableColumn id="8" xr3:uid="{6FDB930C-13A4-4D98-8854-E5EAF15C3C27}" name="Day7"/>
    <tableColumn id="9" xr3:uid="{599170AA-8365-44A7-AFCA-CD19A2EDB5CA}" name="Day8"/>
    <tableColumn id="10" xr3:uid="{2E382A7C-23D6-4546-8134-D678E786BFF1}" name="Day9"/>
    <tableColumn id="11" xr3:uid="{A9EE9CAB-C870-4CB9-A167-CCE68F387F21}" name="Day10"/>
    <tableColumn id="12" xr3:uid="{156F42C8-877B-4837-AC16-0AD0E13133B3}" name="Day11"/>
    <tableColumn id="13" xr3:uid="{9EA62F3E-9E35-4290-BAC4-558122FF5628}" name="Day12"/>
    <tableColumn id="14" xr3:uid="{3B9EE3D1-2E68-4CBE-929F-826640525908}" name="Day13"/>
    <tableColumn id="15" xr3:uid="{B5A556E2-5150-416D-BE53-8D1277083294}" name="Day14"/>
    <tableColumn id="16" xr3:uid="{9D7DF591-D0CB-4EEF-8AAE-3239168100FD}" name="Day15"/>
    <tableColumn id="17" xr3:uid="{693FC053-B125-415E-B96E-6C1BE081D3A7}" name="Day16"/>
    <tableColumn id="18" xr3:uid="{9B6C0935-EEC6-42A0-A5B0-65AA04CE74D8}" name="Day17"/>
    <tableColumn id="19" xr3:uid="{7F98A25B-5786-47AF-A797-A2022DAF5B4F}" name="Day18"/>
    <tableColumn id="20" xr3:uid="{8122C133-B262-48DD-84FE-B69F99E6430E}" name="Day19"/>
    <tableColumn id="21" xr3:uid="{E8B5AF23-F1B8-4576-BAEB-02BB9CDA2ED5}" name="Day20"/>
    <tableColumn id="22" xr3:uid="{094043A7-FF28-4FF5-B522-D15A692FECD7}" name="Day21"/>
    <tableColumn id="23" xr3:uid="{6DD6C6D0-4F76-423A-A185-4D4D3389C273}" name="Day22"/>
    <tableColumn id="24" xr3:uid="{91E2D0AE-97A9-4DE3-9DF6-24245ECDE2DD}" name="Day23"/>
    <tableColumn id="25" xr3:uid="{553CAD2F-6AEA-43AC-8AF8-3EA08A735A0C}" name="Day24"/>
    <tableColumn id="26" xr3:uid="{FB744E70-7702-4CB7-B817-9EBEAE0E4ECC}" name="Day25"/>
    <tableColumn id="27" xr3:uid="{1AFD9DF6-60D1-4246-998B-79CBED509D6E}" name="Day26"/>
    <tableColumn id="28" xr3:uid="{DF024F03-AF28-4437-B843-2500AEE7BF82}" name="Day27"/>
    <tableColumn id="29" xr3:uid="{609FB3B6-AB75-4213-97DB-8889364BC5DA}" name="Day28"/>
    <tableColumn id="30" xr3:uid="{0277D6C3-C16F-40F2-A053-1CD080D38A96}" name="Day29"/>
    <tableColumn id="31" xr3:uid="{E39DE2F7-3971-46F3-BE62-1EE8EF42CE61}" name="Day3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5153-B929-44BF-A942-2F66B4B3C8D3}">
  <dimension ref="A1:F31"/>
  <sheetViews>
    <sheetView workbookViewId="0">
      <selection activeCell="B9" sqref="B9"/>
    </sheetView>
  </sheetViews>
  <sheetFormatPr defaultRowHeight="14.4" x14ac:dyDescent="0.3"/>
  <cols>
    <col min="2" max="2" width="10.88671875" customWidth="1"/>
    <col min="3" max="3" width="11" customWidth="1"/>
    <col min="4" max="4" width="12.6640625" customWidth="1"/>
    <col min="5" max="5" width="10.33203125" customWidth="1"/>
    <col min="6" max="6" width="13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4" t="s">
        <v>4</v>
      </c>
      <c r="F1" s="4" t="s">
        <v>5</v>
      </c>
    </row>
    <row r="2" spans="1:6" x14ac:dyDescent="0.3">
      <c r="A2" s="3" t="s">
        <v>6</v>
      </c>
      <c r="B2" s="3" t="s">
        <v>7</v>
      </c>
      <c r="C2" s="3" t="s">
        <v>8</v>
      </c>
      <c r="D2" s="3" t="s">
        <v>9</v>
      </c>
      <c r="E2" s="5">
        <v>30000</v>
      </c>
      <c r="F2" s="5">
        <v>1000</v>
      </c>
    </row>
    <row r="3" spans="1:6" x14ac:dyDescent="0.3">
      <c r="A3" s="3" t="s">
        <v>47</v>
      </c>
      <c r="B3" s="3" t="s">
        <v>76</v>
      </c>
      <c r="C3" s="3" t="s">
        <v>105</v>
      </c>
      <c r="D3" s="3" t="s">
        <v>110</v>
      </c>
      <c r="E3" s="5">
        <v>25000</v>
      </c>
      <c r="F3" s="5">
        <v>833</v>
      </c>
    </row>
    <row r="4" spans="1:6" x14ac:dyDescent="0.3">
      <c r="A4" s="3" t="s">
        <v>48</v>
      </c>
      <c r="B4" s="3" t="s">
        <v>78</v>
      </c>
      <c r="C4" s="3" t="s">
        <v>106</v>
      </c>
      <c r="D4" s="3" t="s">
        <v>111</v>
      </c>
      <c r="E4" s="5">
        <v>28000</v>
      </c>
      <c r="F4" s="5">
        <v>933</v>
      </c>
    </row>
    <row r="5" spans="1:6" x14ac:dyDescent="0.3">
      <c r="A5" s="3" t="s">
        <v>49</v>
      </c>
      <c r="B5" s="3" t="s">
        <v>77</v>
      </c>
      <c r="C5" s="3" t="s">
        <v>107</v>
      </c>
      <c r="D5" s="3" t="s">
        <v>112</v>
      </c>
      <c r="E5" s="5">
        <v>27000</v>
      </c>
      <c r="F5" s="5">
        <v>900</v>
      </c>
    </row>
    <row r="6" spans="1:6" x14ac:dyDescent="0.3">
      <c r="A6" s="3" t="s">
        <v>50</v>
      </c>
      <c r="B6" s="3" t="s">
        <v>79</v>
      </c>
      <c r="C6" s="3" t="s">
        <v>108</v>
      </c>
      <c r="D6" s="3" t="s">
        <v>113</v>
      </c>
      <c r="E6" s="5">
        <v>26000</v>
      </c>
      <c r="F6" s="5">
        <v>866</v>
      </c>
    </row>
    <row r="7" spans="1:6" x14ac:dyDescent="0.3">
      <c r="A7" s="3" t="s">
        <v>51</v>
      </c>
      <c r="B7" s="3" t="s">
        <v>80</v>
      </c>
      <c r="C7" s="3" t="s">
        <v>109</v>
      </c>
      <c r="D7" s="3" t="s">
        <v>114</v>
      </c>
      <c r="E7" s="5">
        <v>23000</v>
      </c>
      <c r="F7" s="5">
        <v>766</v>
      </c>
    </row>
    <row r="8" spans="1:6" x14ac:dyDescent="0.3">
      <c r="A8" s="3" t="s">
        <v>52</v>
      </c>
      <c r="B8" s="3" t="s">
        <v>81</v>
      </c>
      <c r="C8" s="3" t="s">
        <v>8</v>
      </c>
      <c r="D8" s="3" t="s">
        <v>9</v>
      </c>
      <c r="E8" s="5">
        <v>30000</v>
      </c>
      <c r="F8" s="5">
        <v>1000</v>
      </c>
    </row>
    <row r="9" spans="1:6" x14ac:dyDescent="0.3">
      <c r="A9" s="3" t="s">
        <v>53</v>
      </c>
      <c r="B9" s="3" t="s">
        <v>82</v>
      </c>
      <c r="C9" s="3" t="s">
        <v>105</v>
      </c>
      <c r="D9" s="3" t="s">
        <v>110</v>
      </c>
      <c r="E9" s="5">
        <v>25000</v>
      </c>
      <c r="F9" s="5">
        <v>833</v>
      </c>
    </row>
    <row r="10" spans="1:6" x14ac:dyDescent="0.3">
      <c r="A10" s="3" t="s">
        <v>54</v>
      </c>
      <c r="B10" s="3" t="s">
        <v>83</v>
      </c>
      <c r="C10" s="3" t="s">
        <v>106</v>
      </c>
      <c r="D10" s="3" t="s">
        <v>111</v>
      </c>
      <c r="E10" s="5">
        <v>28000</v>
      </c>
      <c r="F10" s="5">
        <v>933</v>
      </c>
    </row>
    <row r="11" spans="1:6" x14ac:dyDescent="0.3">
      <c r="A11" s="3" t="s">
        <v>55</v>
      </c>
      <c r="B11" s="3" t="s">
        <v>84</v>
      </c>
      <c r="C11" s="3" t="s">
        <v>107</v>
      </c>
      <c r="D11" s="3" t="s">
        <v>112</v>
      </c>
      <c r="E11" s="5">
        <v>27000</v>
      </c>
      <c r="F11" s="5">
        <v>900</v>
      </c>
    </row>
    <row r="12" spans="1:6" x14ac:dyDescent="0.3">
      <c r="A12" s="3" t="s">
        <v>56</v>
      </c>
      <c r="B12" s="3" t="s">
        <v>86</v>
      </c>
      <c r="C12" s="3" t="s">
        <v>108</v>
      </c>
      <c r="D12" s="3" t="s">
        <v>113</v>
      </c>
      <c r="E12" s="5">
        <v>26000</v>
      </c>
      <c r="F12" s="5">
        <v>866</v>
      </c>
    </row>
    <row r="13" spans="1:6" x14ac:dyDescent="0.3">
      <c r="A13" s="3" t="s">
        <v>57</v>
      </c>
      <c r="B13" s="3" t="s">
        <v>85</v>
      </c>
      <c r="C13" s="3" t="s">
        <v>109</v>
      </c>
      <c r="D13" s="3" t="s">
        <v>114</v>
      </c>
      <c r="E13" s="5">
        <v>23000</v>
      </c>
      <c r="F13" s="5">
        <v>766</v>
      </c>
    </row>
    <row r="14" spans="1:6" x14ac:dyDescent="0.3">
      <c r="A14" s="3" t="s">
        <v>58</v>
      </c>
      <c r="B14" s="3" t="s">
        <v>87</v>
      </c>
      <c r="C14" s="3" t="s">
        <v>8</v>
      </c>
      <c r="D14" s="3" t="s">
        <v>9</v>
      </c>
      <c r="E14" s="5">
        <v>30000</v>
      </c>
      <c r="F14" s="5">
        <v>1000</v>
      </c>
    </row>
    <row r="15" spans="1:6" x14ac:dyDescent="0.3">
      <c r="A15" s="3" t="s">
        <v>59</v>
      </c>
      <c r="B15" s="3" t="s">
        <v>88</v>
      </c>
      <c r="C15" s="3" t="s">
        <v>105</v>
      </c>
      <c r="D15" s="3" t="s">
        <v>110</v>
      </c>
      <c r="E15" s="5">
        <v>25000</v>
      </c>
      <c r="F15" s="5">
        <v>833</v>
      </c>
    </row>
    <row r="16" spans="1:6" x14ac:dyDescent="0.3">
      <c r="A16" s="3" t="s">
        <v>60</v>
      </c>
      <c r="B16" s="3" t="s">
        <v>89</v>
      </c>
      <c r="C16" s="3" t="s">
        <v>106</v>
      </c>
      <c r="D16" s="3" t="s">
        <v>111</v>
      </c>
      <c r="E16" s="5">
        <v>28000</v>
      </c>
      <c r="F16" s="5">
        <v>933</v>
      </c>
    </row>
    <row r="17" spans="1:6" x14ac:dyDescent="0.3">
      <c r="A17" s="3" t="s">
        <v>61</v>
      </c>
      <c r="B17" s="3" t="s">
        <v>90</v>
      </c>
      <c r="C17" s="3" t="s">
        <v>107</v>
      </c>
      <c r="D17" s="3" t="s">
        <v>112</v>
      </c>
      <c r="E17" s="5">
        <v>27000</v>
      </c>
      <c r="F17" s="5">
        <v>900</v>
      </c>
    </row>
    <row r="18" spans="1:6" x14ac:dyDescent="0.3">
      <c r="A18" s="3" t="s">
        <v>62</v>
      </c>
      <c r="B18" s="3" t="s">
        <v>91</v>
      </c>
      <c r="C18" s="3" t="s">
        <v>108</v>
      </c>
      <c r="D18" s="3" t="s">
        <v>113</v>
      </c>
      <c r="E18" s="5">
        <v>26000</v>
      </c>
      <c r="F18" s="5">
        <v>866</v>
      </c>
    </row>
    <row r="19" spans="1:6" x14ac:dyDescent="0.3">
      <c r="A19" s="3" t="s">
        <v>63</v>
      </c>
      <c r="B19" s="3" t="s">
        <v>92</v>
      </c>
      <c r="C19" s="3" t="s">
        <v>109</v>
      </c>
      <c r="D19" s="3" t="s">
        <v>114</v>
      </c>
      <c r="E19" s="5">
        <v>23000</v>
      </c>
      <c r="F19" s="5">
        <v>766</v>
      </c>
    </row>
    <row r="20" spans="1:6" x14ac:dyDescent="0.3">
      <c r="A20" s="3" t="s">
        <v>64</v>
      </c>
      <c r="B20" s="3" t="s">
        <v>93</v>
      </c>
      <c r="C20" s="3" t="s">
        <v>8</v>
      </c>
      <c r="D20" s="3" t="s">
        <v>9</v>
      </c>
      <c r="E20" s="5">
        <v>30000</v>
      </c>
      <c r="F20" s="5">
        <v>1000</v>
      </c>
    </row>
    <row r="21" spans="1:6" x14ac:dyDescent="0.3">
      <c r="A21" s="3" t="s">
        <v>65</v>
      </c>
      <c r="B21" s="3" t="s">
        <v>94</v>
      </c>
      <c r="C21" s="3" t="s">
        <v>105</v>
      </c>
      <c r="D21" s="3" t="s">
        <v>110</v>
      </c>
      <c r="E21" s="5">
        <v>25000</v>
      </c>
      <c r="F21" s="5">
        <v>833</v>
      </c>
    </row>
    <row r="22" spans="1:6" x14ac:dyDescent="0.3">
      <c r="A22" s="3" t="s">
        <v>66</v>
      </c>
      <c r="B22" s="3" t="s">
        <v>95</v>
      </c>
      <c r="C22" s="3" t="s">
        <v>106</v>
      </c>
      <c r="D22" s="3" t="s">
        <v>111</v>
      </c>
      <c r="E22" s="5">
        <v>28000</v>
      </c>
      <c r="F22" s="5">
        <v>933</v>
      </c>
    </row>
    <row r="23" spans="1:6" x14ac:dyDescent="0.3">
      <c r="A23" s="3" t="s">
        <v>67</v>
      </c>
      <c r="B23" s="3" t="s">
        <v>96</v>
      </c>
      <c r="C23" s="3" t="s">
        <v>107</v>
      </c>
      <c r="D23" s="3" t="s">
        <v>112</v>
      </c>
      <c r="E23" s="5">
        <v>27000</v>
      </c>
      <c r="F23" s="5">
        <v>900</v>
      </c>
    </row>
    <row r="24" spans="1:6" x14ac:dyDescent="0.3">
      <c r="A24" s="3" t="s">
        <v>68</v>
      </c>
      <c r="B24" s="3" t="s">
        <v>97</v>
      </c>
      <c r="C24" s="3" t="s">
        <v>108</v>
      </c>
      <c r="D24" s="3" t="s">
        <v>113</v>
      </c>
      <c r="E24" s="5">
        <v>26000</v>
      </c>
      <c r="F24" s="5">
        <v>866</v>
      </c>
    </row>
    <row r="25" spans="1:6" x14ac:dyDescent="0.3">
      <c r="A25" s="3" t="s">
        <v>69</v>
      </c>
      <c r="B25" s="3" t="s">
        <v>98</v>
      </c>
      <c r="C25" s="3" t="s">
        <v>109</v>
      </c>
      <c r="D25" s="3" t="s">
        <v>114</v>
      </c>
      <c r="E25" s="5">
        <v>23000</v>
      </c>
      <c r="F25" s="5">
        <v>766</v>
      </c>
    </row>
    <row r="26" spans="1:6" x14ac:dyDescent="0.3">
      <c r="A26" s="3" t="s">
        <v>70</v>
      </c>
      <c r="B26" s="3" t="s">
        <v>99</v>
      </c>
      <c r="C26" s="3" t="s">
        <v>8</v>
      </c>
      <c r="D26" s="3" t="s">
        <v>9</v>
      </c>
      <c r="E26" s="5">
        <v>30000</v>
      </c>
      <c r="F26" s="5">
        <v>1000</v>
      </c>
    </row>
    <row r="27" spans="1:6" x14ac:dyDescent="0.3">
      <c r="A27" s="3" t="s">
        <v>71</v>
      </c>
      <c r="B27" s="3" t="s">
        <v>100</v>
      </c>
      <c r="C27" s="3" t="s">
        <v>105</v>
      </c>
      <c r="D27" s="3" t="s">
        <v>110</v>
      </c>
      <c r="E27" s="5">
        <v>25000</v>
      </c>
      <c r="F27" s="5">
        <v>833</v>
      </c>
    </row>
    <row r="28" spans="1:6" x14ac:dyDescent="0.3">
      <c r="A28" s="3" t="s">
        <v>72</v>
      </c>
      <c r="B28" s="3" t="s">
        <v>101</v>
      </c>
      <c r="C28" s="3" t="s">
        <v>106</v>
      </c>
      <c r="D28" s="3" t="s">
        <v>111</v>
      </c>
      <c r="E28" s="5">
        <v>28000</v>
      </c>
      <c r="F28" s="5">
        <v>933</v>
      </c>
    </row>
    <row r="29" spans="1:6" x14ac:dyDescent="0.3">
      <c r="A29" s="3" t="s">
        <v>73</v>
      </c>
      <c r="B29" s="3" t="s">
        <v>102</v>
      </c>
      <c r="C29" s="3" t="s">
        <v>107</v>
      </c>
      <c r="D29" s="3" t="s">
        <v>112</v>
      </c>
      <c r="E29" s="5">
        <v>27000</v>
      </c>
      <c r="F29" s="5">
        <v>900</v>
      </c>
    </row>
    <row r="30" spans="1:6" x14ac:dyDescent="0.3">
      <c r="A30" s="3" t="s">
        <v>74</v>
      </c>
      <c r="B30" s="3" t="s">
        <v>103</v>
      </c>
      <c r="C30" s="3" t="s">
        <v>108</v>
      </c>
      <c r="D30" s="3" t="s">
        <v>113</v>
      </c>
      <c r="E30" s="5">
        <v>26000</v>
      </c>
      <c r="F30" s="5">
        <v>866</v>
      </c>
    </row>
    <row r="31" spans="1:6" x14ac:dyDescent="0.3">
      <c r="A31" s="3" t="s">
        <v>75</v>
      </c>
      <c r="B31" s="3" t="s">
        <v>104</v>
      </c>
      <c r="C31" s="3" t="s">
        <v>109</v>
      </c>
      <c r="D31" s="3" t="s">
        <v>114</v>
      </c>
      <c r="E31" s="5">
        <v>23000</v>
      </c>
      <c r="F31" s="5">
        <v>766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C7A7-B15F-4E2C-9AF9-AD1F7AEF9C15}">
  <dimension ref="A1:AE31"/>
  <sheetViews>
    <sheetView zoomScale="76" workbookViewId="0">
      <selection activeCell="M9" sqref="M9"/>
    </sheetView>
  </sheetViews>
  <sheetFormatPr defaultRowHeight="14.4" x14ac:dyDescent="0.3"/>
  <sheetData>
    <row r="1" spans="1:31" x14ac:dyDescent="0.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</row>
    <row r="2" spans="1:31" x14ac:dyDescent="0.3">
      <c r="A2" t="s">
        <v>6</v>
      </c>
      <c r="B2" t="s">
        <v>40</v>
      </c>
      <c r="C2" t="s">
        <v>41</v>
      </c>
      <c r="D2" t="s">
        <v>40</v>
      </c>
      <c r="E2" t="s">
        <v>40</v>
      </c>
      <c r="F2" t="s">
        <v>41</v>
      </c>
      <c r="G2" t="s">
        <v>40</v>
      </c>
      <c r="H2" t="s">
        <v>40</v>
      </c>
      <c r="I2" t="s">
        <v>41</v>
      </c>
      <c r="J2" t="s">
        <v>40</v>
      </c>
      <c r="K2" t="s">
        <v>40</v>
      </c>
      <c r="L2" t="s">
        <v>41</v>
      </c>
      <c r="M2" t="s">
        <v>40</v>
      </c>
      <c r="N2" t="s">
        <v>40</v>
      </c>
      <c r="O2" t="s">
        <v>41</v>
      </c>
      <c r="P2" t="s">
        <v>40</v>
      </c>
      <c r="Q2" t="s">
        <v>40</v>
      </c>
      <c r="R2" t="s">
        <v>41</v>
      </c>
      <c r="S2" t="s">
        <v>40</v>
      </c>
      <c r="T2" t="s">
        <v>40</v>
      </c>
      <c r="U2" t="s">
        <v>41</v>
      </c>
      <c r="V2" t="s">
        <v>40</v>
      </c>
      <c r="W2" t="s">
        <v>40</v>
      </c>
      <c r="X2" t="s">
        <v>41</v>
      </c>
      <c r="Y2" t="s">
        <v>40</v>
      </c>
      <c r="Z2" t="s">
        <v>40</v>
      </c>
      <c r="AA2" t="s">
        <v>41</v>
      </c>
      <c r="AB2" t="s">
        <v>40</v>
      </c>
      <c r="AC2" t="s">
        <v>40</v>
      </c>
      <c r="AD2" t="s">
        <v>41</v>
      </c>
      <c r="AE2" t="s">
        <v>40</v>
      </c>
    </row>
    <row r="3" spans="1:31" x14ac:dyDescent="0.3">
      <c r="A3" t="s">
        <v>47</v>
      </c>
      <c r="B3" t="s">
        <v>40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40</v>
      </c>
      <c r="X3" t="s">
        <v>40</v>
      </c>
      <c r="Y3" t="s">
        <v>40</v>
      </c>
      <c r="Z3" t="s">
        <v>40</v>
      </c>
      <c r="AA3" t="s">
        <v>40</v>
      </c>
      <c r="AB3" t="s">
        <v>40</v>
      </c>
      <c r="AC3" t="s">
        <v>40</v>
      </c>
      <c r="AD3" t="s">
        <v>40</v>
      </c>
      <c r="AE3" t="s">
        <v>40</v>
      </c>
    </row>
    <row r="4" spans="1:31" x14ac:dyDescent="0.3">
      <c r="A4" t="s">
        <v>48</v>
      </c>
      <c r="B4" t="s">
        <v>40</v>
      </c>
      <c r="C4" t="s">
        <v>40</v>
      </c>
      <c r="D4" t="s">
        <v>40</v>
      </c>
      <c r="E4" t="s">
        <v>40</v>
      </c>
      <c r="F4" t="s">
        <v>40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40</v>
      </c>
      <c r="P4" t="s">
        <v>40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40</v>
      </c>
      <c r="X4" t="s">
        <v>40</v>
      </c>
      <c r="Y4" t="s">
        <v>40</v>
      </c>
      <c r="Z4" t="s">
        <v>40</v>
      </c>
      <c r="AA4" t="s">
        <v>40</v>
      </c>
      <c r="AB4" t="s">
        <v>40</v>
      </c>
      <c r="AC4" t="s">
        <v>40</v>
      </c>
      <c r="AD4" t="s">
        <v>40</v>
      </c>
      <c r="AE4" t="s">
        <v>40</v>
      </c>
    </row>
    <row r="5" spans="1:31" x14ac:dyDescent="0.3">
      <c r="A5" t="s">
        <v>49</v>
      </c>
      <c r="B5" t="s">
        <v>40</v>
      </c>
      <c r="C5" t="s">
        <v>41</v>
      </c>
      <c r="D5" t="s">
        <v>40</v>
      </c>
      <c r="E5" t="s">
        <v>40</v>
      </c>
      <c r="F5" t="s">
        <v>41</v>
      </c>
      <c r="G5" t="s">
        <v>40</v>
      </c>
      <c r="H5" t="s">
        <v>40</v>
      </c>
      <c r="I5" t="s">
        <v>41</v>
      </c>
      <c r="J5" t="s">
        <v>40</v>
      </c>
      <c r="K5" t="s">
        <v>40</v>
      </c>
      <c r="L5" t="s">
        <v>41</v>
      </c>
      <c r="M5" t="s">
        <v>40</v>
      </c>
      <c r="N5" t="s">
        <v>40</v>
      </c>
      <c r="O5" t="s">
        <v>41</v>
      </c>
      <c r="P5" t="s">
        <v>40</v>
      </c>
      <c r="Q5" t="s">
        <v>40</v>
      </c>
      <c r="R5" t="s">
        <v>41</v>
      </c>
      <c r="S5" t="s">
        <v>40</v>
      </c>
      <c r="T5" t="s">
        <v>40</v>
      </c>
      <c r="U5" t="s">
        <v>41</v>
      </c>
      <c r="V5" t="s">
        <v>40</v>
      </c>
      <c r="W5" t="s">
        <v>40</v>
      </c>
      <c r="X5" t="s">
        <v>41</v>
      </c>
      <c r="Y5" t="s">
        <v>40</v>
      </c>
      <c r="Z5" t="s">
        <v>40</v>
      </c>
      <c r="AA5" t="s">
        <v>41</v>
      </c>
      <c r="AB5" t="s">
        <v>40</v>
      </c>
      <c r="AC5" t="s">
        <v>40</v>
      </c>
      <c r="AD5" t="s">
        <v>41</v>
      </c>
      <c r="AE5" t="s">
        <v>40</v>
      </c>
    </row>
    <row r="6" spans="1:31" x14ac:dyDescent="0.3">
      <c r="A6" t="s">
        <v>50</v>
      </c>
      <c r="B6" t="s">
        <v>40</v>
      </c>
      <c r="C6" t="s">
        <v>40</v>
      </c>
      <c r="D6" t="s">
        <v>40</v>
      </c>
      <c r="E6" t="s">
        <v>40</v>
      </c>
      <c r="F6" t="s">
        <v>40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40</v>
      </c>
      <c r="P6" t="s">
        <v>40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40</v>
      </c>
      <c r="X6" t="s">
        <v>40</v>
      </c>
      <c r="Y6" t="s">
        <v>40</v>
      </c>
      <c r="Z6" t="s">
        <v>40</v>
      </c>
      <c r="AA6" t="s">
        <v>40</v>
      </c>
      <c r="AB6" t="s">
        <v>40</v>
      </c>
      <c r="AC6" t="s">
        <v>40</v>
      </c>
      <c r="AD6" t="s">
        <v>40</v>
      </c>
      <c r="AE6" t="s">
        <v>40</v>
      </c>
    </row>
    <row r="7" spans="1:31" x14ac:dyDescent="0.3">
      <c r="A7" t="s">
        <v>51</v>
      </c>
      <c r="B7" t="s">
        <v>40</v>
      </c>
      <c r="C7" t="s">
        <v>40</v>
      </c>
      <c r="D7" t="s">
        <v>40</v>
      </c>
      <c r="E7" t="s">
        <v>40</v>
      </c>
      <c r="F7" t="s">
        <v>40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40</v>
      </c>
      <c r="P7" t="s">
        <v>40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40</v>
      </c>
      <c r="X7" t="s">
        <v>40</v>
      </c>
      <c r="Y7" t="s">
        <v>40</v>
      </c>
      <c r="Z7" t="s">
        <v>40</v>
      </c>
      <c r="AA7" t="s">
        <v>40</v>
      </c>
      <c r="AB7" t="s">
        <v>40</v>
      </c>
      <c r="AC7" t="s">
        <v>40</v>
      </c>
      <c r="AD7" t="s">
        <v>40</v>
      </c>
      <c r="AE7" t="s">
        <v>40</v>
      </c>
    </row>
    <row r="8" spans="1:31" x14ac:dyDescent="0.3">
      <c r="A8" t="s">
        <v>52</v>
      </c>
      <c r="B8" t="s">
        <v>40</v>
      </c>
      <c r="C8" t="s">
        <v>40</v>
      </c>
      <c r="D8" t="s">
        <v>40</v>
      </c>
      <c r="E8" t="s">
        <v>40</v>
      </c>
      <c r="F8" t="s">
        <v>40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40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40</v>
      </c>
      <c r="X8" t="s">
        <v>40</v>
      </c>
      <c r="Y8" t="s">
        <v>40</v>
      </c>
      <c r="Z8" t="s">
        <v>40</v>
      </c>
      <c r="AA8" t="s">
        <v>40</v>
      </c>
      <c r="AB8" t="s">
        <v>40</v>
      </c>
      <c r="AC8" t="s">
        <v>40</v>
      </c>
      <c r="AD8" t="s">
        <v>40</v>
      </c>
      <c r="AE8" t="s">
        <v>40</v>
      </c>
    </row>
    <row r="9" spans="1:31" x14ac:dyDescent="0.3">
      <c r="A9" t="s">
        <v>53</v>
      </c>
      <c r="B9" t="s">
        <v>40</v>
      </c>
      <c r="C9" t="s">
        <v>40</v>
      </c>
      <c r="D9" t="s">
        <v>40</v>
      </c>
      <c r="E9" t="s">
        <v>40</v>
      </c>
      <c r="F9" t="s">
        <v>40</v>
      </c>
      <c r="G9" t="s">
        <v>41</v>
      </c>
      <c r="H9" t="s">
        <v>40</v>
      </c>
      <c r="I9" t="s">
        <v>40</v>
      </c>
      <c r="J9" t="s">
        <v>41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41</v>
      </c>
      <c r="Q9" t="s">
        <v>40</v>
      </c>
      <c r="R9" t="s">
        <v>40</v>
      </c>
      <c r="S9" t="s">
        <v>41</v>
      </c>
      <c r="T9" t="s">
        <v>40</v>
      </c>
      <c r="U9" t="s">
        <v>40</v>
      </c>
      <c r="V9" t="s">
        <v>41</v>
      </c>
      <c r="W9" t="s">
        <v>40</v>
      </c>
      <c r="X9" t="s">
        <v>40</v>
      </c>
      <c r="Y9" t="s">
        <v>41</v>
      </c>
      <c r="Z9" t="s">
        <v>40</v>
      </c>
      <c r="AA9" t="s">
        <v>40</v>
      </c>
      <c r="AB9" t="s">
        <v>41</v>
      </c>
      <c r="AC9" t="s">
        <v>40</v>
      </c>
      <c r="AD9" t="s">
        <v>40</v>
      </c>
      <c r="AE9" t="s">
        <v>41</v>
      </c>
    </row>
    <row r="10" spans="1:31" x14ac:dyDescent="0.3">
      <c r="A10" t="s">
        <v>54</v>
      </c>
      <c r="B10" t="s">
        <v>40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  <c r="AC10" t="s">
        <v>40</v>
      </c>
      <c r="AD10" t="s">
        <v>40</v>
      </c>
      <c r="AE10" t="s">
        <v>40</v>
      </c>
    </row>
    <row r="11" spans="1:31" x14ac:dyDescent="0.3">
      <c r="A11" t="s">
        <v>55</v>
      </c>
      <c r="B11" t="s">
        <v>40</v>
      </c>
      <c r="C11" t="s">
        <v>41</v>
      </c>
      <c r="D11" t="s">
        <v>40</v>
      </c>
      <c r="E11" t="s">
        <v>40</v>
      </c>
      <c r="F11" t="s">
        <v>41</v>
      </c>
      <c r="G11" t="s">
        <v>40</v>
      </c>
      <c r="H11" t="s">
        <v>40</v>
      </c>
      <c r="I11" t="s">
        <v>41</v>
      </c>
      <c r="J11" t="s">
        <v>40</v>
      </c>
      <c r="K11" t="s">
        <v>40</v>
      </c>
      <c r="L11" t="s">
        <v>41</v>
      </c>
      <c r="M11" t="s">
        <v>40</v>
      </c>
      <c r="N11" t="s">
        <v>40</v>
      </c>
      <c r="O11" t="s">
        <v>41</v>
      </c>
      <c r="P11" t="s">
        <v>40</v>
      </c>
      <c r="Q11" t="s">
        <v>40</v>
      </c>
      <c r="R11" t="s">
        <v>41</v>
      </c>
      <c r="S11" t="s">
        <v>40</v>
      </c>
      <c r="T11" t="s">
        <v>40</v>
      </c>
      <c r="U11" t="s">
        <v>41</v>
      </c>
      <c r="V11" t="s">
        <v>40</v>
      </c>
      <c r="W11" t="s">
        <v>40</v>
      </c>
      <c r="X11" t="s">
        <v>41</v>
      </c>
      <c r="Y11" t="s">
        <v>40</v>
      </c>
      <c r="Z11" t="s">
        <v>40</v>
      </c>
      <c r="AA11" t="s">
        <v>41</v>
      </c>
      <c r="AB11" t="s">
        <v>40</v>
      </c>
      <c r="AC11" t="s">
        <v>40</v>
      </c>
      <c r="AD11" t="s">
        <v>41</v>
      </c>
      <c r="AE11" t="s">
        <v>40</v>
      </c>
    </row>
    <row r="12" spans="1:31" x14ac:dyDescent="0.3">
      <c r="A12" t="s">
        <v>56</v>
      </c>
      <c r="B12" t="s">
        <v>40</v>
      </c>
      <c r="C12" t="s">
        <v>40</v>
      </c>
      <c r="D12" t="s">
        <v>40</v>
      </c>
      <c r="E12" t="s">
        <v>40</v>
      </c>
      <c r="F12" t="s">
        <v>40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40</v>
      </c>
      <c r="P12" t="s">
        <v>40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40</v>
      </c>
      <c r="X12" t="s">
        <v>40</v>
      </c>
      <c r="Y12" t="s">
        <v>40</v>
      </c>
      <c r="Z12" t="s">
        <v>40</v>
      </c>
      <c r="AA12" t="s">
        <v>40</v>
      </c>
      <c r="AB12" t="s">
        <v>40</v>
      </c>
      <c r="AC12" t="s">
        <v>40</v>
      </c>
      <c r="AD12" t="s">
        <v>40</v>
      </c>
      <c r="AE12" t="s">
        <v>40</v>
      </c>
    </row>
    <row r="13" spans="1:31" x14ac:dyDescent="0.3">
      <c r="A13" t="s">
        <v>57</v>
      </c>
      <c r="B13" t="s">
        <v>40</v>
      </c>
      <c r="C13" t="s">
        <v>40</v>
      </c>
      <c r="D13" t="s">
        <v>40</v>
      </c>
      <c r="E13" t="s">
        <v>40</v>
      </c>
      <c r="F13" t="s">
        <v>40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40</v>
      </c>
      <c r="P13" t="s">
        <v>40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40</v>
      </c>
      <c r="X13" t="s">
        <v>40</v>
      </c>
      <c r="Y13" t="s">
        <v>40</v>
      </c>
      <c r="Z13" t="s">
        <v>40</v>
      </c>
      <c r="AA13" t="s">
        <v>40</v>
      </c>
      <c r="AB13" t="s">
        <v>40</v>
      </c>
      <c r="AC13" t="s">
        <v>40</v>
      </c>
      <c r="AD13" t="s">
        <v>40</v>
      </c>
      <c r="AE13" t="s">
        <v>40</v>
      </c>
    </row>
    <row r="14" spans="1:31" x14ac:dyDescent="0.3">
      <c r="A14" t="s">
        <v>58</v>
      </c>
      <c r="B14" t="s">
        <v>40</v>
      </c>
      <c r="C14" t="s">
        <v>41</v>
      </c>
      <c r="D14" t="s">
        <v>40</v>
      </c>
      <c r="E14" t="s">
        <v>40</v>
      </c>
      <c r="F14" t="s">
        <v>41</v>
      </c>
      <c r="G14" t="s">
        <v>40</v>
      </c>
      <c r="H14" t="s">
        <v>40</v>
      </c>
      <c r="I14" t="s">
        <v>41</v>
      </c>
      <c r="J14" t="s">
        <v>40</v>
      </c>
      <c r="K14" t="s">
        <v>40</v>
      </c>
      <c r="L14" t="s">
        <v>41</v>
      </c>
      <c r="M14" t="s">
        <v>40</v>
      </c>
      <c r="N14" t="s">
        <v>40</v>
      </c>
      <c r="O14" t="s">
        <v>41</v>
      </c>
      <c r="P14" t="s">
        <v>40</v>
      </c>
      <c r="Q14" t="s">
        <v>40</v>
      </c>
      <c r="R14" t="s">
        <v>41</v>
      </c>
      <c r="S14" t="s">
        <v>40</v>
      </c>
      <c r="T14" t="s">
        <v>40</v>
      </c>
      <c r="U14" t="s">
        <v>41</v>
      </c>
      <c r="V14" t="s">
        <v>40</v>
      </c>
      <c r="W14" t="s">
        <v>40</v>
      </c>
      <c r="X14" t="s">
        <v>41</v>
      </c>
      <c r="Y14" t="s">
        <v>40</v>
      </c>
      <c r="Z14" t="s">
        <v>40</v>
      </c>
      <c r="AA14" t="s">
        <v>41</v>
      </c>
      <c r="AB14" t="s">
        <v>40</v>
      </c>
      <c r="AC14" t="s">
        <v>40</v>
      </c>
      <c r="AD14" t="s">
        <v>41</v>
      </c>
      <c r="AE14" t="s">
        <v>40</v>
      </c>
    </row>
    <row r="15" spans="1:31" x14ac:dyDescent="0.3">
      <c r="A15" t="s">
        <v>59</v>
      </c>
      <c r="B15" t="s">
        <v>40</v>
      </c>
      <c r="C15" t="s">
        <v>40</v>
      </c>
      <c r="D15" t="s">
        <v>41</v>
      </c>
      <c r="E15" t="s">
        <v>40</v>
      </c>
      <c r="F15" t="s">
        <v>40</v>
      </c>
      <c r="G15" t="s">
        <v>41</v>
      </c>
      <c r="H15" t="s">
        <v>40</v>
      </c>
      <c r="I15" t="s">
        <v>40</v>
      </c>
      <c r="J15" t="s">
        <v>41</v>
      </c>
      <c r="K15" t="s">
        <v>40</v>
      </c>
      <c r="L15" t="s">
        <v>40</v>
      </c>
      <c r="M15" t="s">
        <v>41</v>
      </c>
      <c r="N15" t="s">
        <v>40</v>
      </c>
      <c r="O15" t="s">
        <v>40</v>
      </c>
      <c r="P15" t="s">
        <v>41</v>
      </c>
      <c r="Q15" t="s">
        <v>40</v>
      </c>
      <c r="R15" t="s">
        <v>40</v>
      </c>
      <c r="S15" t="s">
        <v>41</v>
      </c>
      <c r="T15" t="s">
        <v>40</v>
      </c>
      <c r="U15" t="s">
        <v>40</v>
      </c>
      <c r="V15" t="s">
        <v>41</v>
      </c>
      <c r="W15" t="s">
        <v>40</v>
      </c>
      <c r="X15" t="s">
        <v>40</v>
      </c>
      <c r="Y15" t="s">
        <v>41</v>
      </c>
      <c r="Z15" t="s">
        <v>40</v>
      </c>
      <c r="AA15" t="s">
        <v>40</v>
      </c>
      <c r="AB15" t="s">
        <v>41</v>
      </c>
      <c r="AC15" t="s">
        <v>40</v>
      </c>
      <c r="AD15" t="s">
        <v>40</v>
      </c>
      <c r="AE15" t="s">
        <v>41</v>
      </c>
    </row>
    <row r="16" spans="1:31" x14ac:dyDescent="0.3">
      <c r="A16" t="s">
        <v>60</v>
      </c>
      <c r="B16" t="s">
        <v>41</v>
      </c>
      <c r="C16" t="s">
        <v>40</v>
      </c>
      <c r="D16" t="s">
        <v>40</v>
      </c>
      <c r="E16" t="s">
        <v>41</v>
      </c>
      <c r="F16" t="s">
        <v>40</v>
      </c>
      <c r="G16" t="s">
        <v>40</v>
      </c>
      <c r="H16" t="s">
        <v>41</v>
      </c>
      <c r="I16" t="s">
        <v>40</v>
      </c>
      <c r="J16" t="s">
        <v>40</v>
      </c>
      <c r="K16" t="s">
        <v>41</v>
      </c>
      <c r="L16" t="s">
        <v>40</v>
      </c>
      <c r="M16" t="s">
        <v>40</v>
      </c>
      <c r="N16" t="s">
        <v>41</v>
      </c>
      <c r="O16" t="s">
        <v>40</v>
      </c>
      <c r="P16" t="s">
        <v>40</v>
      </c>
      <c r="Q16" t="s">
        <v>41</v>
      </c>
      <c r="R16" t="s">
        <v>40</v>
      </c>
      <c r="S16" t="s">
        <v>40</v>
      </c>
      <c r="T16" t="s">
        <v>41</v>
      </c>
      <c r="U16" t="s">
        <v>40</v>
      </c>
      <c r="V16" t="s">
        <v>40</v>
      </c>
      <c r="W16" t="s">
        <v>41</v>
      </c>
      <c r="X16" t="s">
        <v>40</v>
      </c>
      <c r="Y16" t="s">
        <v>40</v>
      </c>
      <c r="Z16" t="s">
        <v>41</v>
      </c>
      <c r="AA16" t="s">
        <v>40</v>
      </c>
      <c r="AB16" t="s">
        <v>40</v>
      </c>
      <c r="AC16" t="s">
        <v>41</v>
      </c>
      <c r="AD16" t="s">
        <v>40</v>
      </c>
      <c r="AE16" t="s">
        <v>40</v>
      </c>
    </row>
    <row r="17" spans="1:31" x14ac:dyDescent="0.3">
      <c r="A17" t="s">
        <v>61</v>
      </c>
      <c r="B17" t="s">
        <v>40</v>
      </c>
      <c r="C17" t="s">
        <v>40</v>
      </c>
      <c r="D17" t="s">
        <v>40</v>
      </c>
      <c r="E17" t="s">
        <v>40</v>
      </c>
      <c r="F17" t="s">
        <v>40</v>
      </c>
      <c r="G17" t="s">
        <v>40</v>
      </c>
      <c r="H17" t="s">
        <v>40</v>
      </c>
      <c r="I17" t="s">
        <v>40</v>
      </c>
      <c r="J17" t="s">
        <v>40</v>
      </c>
      <c r="K17" t="s">
        <v>40</v>
      </c>
      <c r="L17" t="s">
        <v>40</v>
      </c>
      <c r="M17" t="s">
        <v>40</v>
      </c>
      <c r="N17" t="s">
        <v>40</v>
      </c>
      <c r="O17" t="s">
        <v>40</v>
      </c>
      <c r="P17" t="s">
        <v>40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40</v>
      </c>
      <c r="X17" t="s">
        <v>40</v>
      </c>
      <c r="Y17" t="s">
        <v>40</v>
      </c>
      <c r="Z17" t="s">
        <v>40</v>
      </c>
      <c r="AA17" t="s">
        <v>40</v>
      </c>
      <c r="AB17" t="s">
        <v>40</v>
      </c>
      <c r="AC17" t="s">
        <v>40</v>
      </c>
      <c r="AD17" t="s">
        <v>40</v>
      </c>
      <c r="AE17" t="s">
        <v>40</v>
      </c>
    </row>
    <row r="18" spans="1:31" x14ac:dyDescent="0.3">
      <c r="A18" t="s">
        <v>62</v>
      </c>
      <c r="B18" t="s">
        <v>40</v>
      </c>
      <c r="C18" t="s">
        <v>41</v>
      </c>
      <c r="D18" t="s">
        <v>40</v>
      </c>
      <c r="E18" t="s">
        <v>40</v>
      </c>
      <c r="F18" t="s">
        <v>41</v>
      </c>
      <c r="G18" t="s">
        <v>40</v>
      </c>
      <c r="H18" t="s">
        <v>40</v>
      </c>
      <c r="I18" t="s">
        <v>41</v>
      </c>
      <c r="J18" t="s">
        <v>40</v>
      </c>
      <c r="K18" t="s">
        <v>40</v>
      </c>
      <c r="L18" t="s">
        <v>41</v>
      </c>
      <c r="M18" t="s">
        <v>40</v>
      </c>
      <c r="N18" t="s">
        <v>40</v>
      </c>
      <c r="O18" t="s">
        <v>41</v>
      </c>
      <c r="P18" t="s">
        <v>40</v>
      </c>
      <c r="Q18" t="s">
        <v>40</v>
      </c>
      <c r="R18" t="s">
        <v>41</v>
      </c>
      <c r="S18" t="s">
        <v>40</v>
      </c>
      <c r="T18" t="s">
        <v>40</v>
      </c>
      <c r="U18" t="s">
        <v>41</v>
      </c>
      <c r="V18" t="s">
        <v>40</v>
      </c>
      <c r="W18" t="s">
        <v>40</v>
      </c>
      <c r="X18" t="s">
        <v>41</v>
      </c>
      <c r="Y18" t="s">
        <v>40</v>
      </c>
      <c r="Z18" t="s">
        <v>40</v>
      </c>
      <c r="AA18" t="s">
        <v>41</v>
      </c>
      <c r="AB18" t="s">
        <v>40</v>
      </c>
      <c r="AC18" t="s">
        <v>40</v>
      </c>
      <c r="AD18" t="s">
        <v>41</v>
      </c>
      <c r="AE18" t="s">
        <v>40</v>
      </c>
    </row>
    <row r="19" spans="1:31" x14ac:dyDescent="0.3">
      <c r="A19" t="s">
        <v>63</v>
      </c>
      <c r="B19" t="s">
        <v>41</v>
      </c>
      <c r="C19" t="s">
        <v>40</v>
      </c>
      <c r="D19" t="s">
        <v>40</v>
      </c>
      <c r="E19" t="s">
        <v>41</v>
      </c>
      <c r="F19" t="s">
        <v>40</v>
      </c>
      <c r="G19" t="s">
        <v>40</v>
      </c>
      <c r="H19" t="s">
        <v>41</v>
      </c>
      <c r="I19" t="s">
        <v>40</v>
      </c>
      <c r="J19" t="s">
        <v>40</v>
      </c>
      <c r="K19" t="s">
        <v>41</v>
      </c>
      <c r="L19" t="s">
        <v>40</v>
      </c>
      <c r="M19" t="s">
        <v>40</v>
      </c>
      <c r="N19" t="s">
        <v>41</v>
      </c>
      <c r="O19" t="s">
        <v>40</v>
      </c>
      <c r="P19" t="s">
        <v>40</v>
      </c>
      <c r="Q19" t="s">
        <v>41</v>
      </c>
      <c r="R19" t="s">
        <v>40</v>
      </c>
      <c r="S19" t="s">
        <v>40</v>
      </c>
      <c r="T19" t="s">
        <v>41</v>
      </c>
      <c r="U19" t="s">
        <v>40</v>
      </c>
      <c r="V19" t="s">
        <v>40</v>
      </c>
      <c r="W19" t="s">
        <v>41</v>
      </c>
      <c r="X19" t="s">
        <v>40</v>
      </c>
      <c r="Y19" t="s">
        <v>40</v>
      </c>
      <c r="Z19" t="s">
        <v>41</v>
      </c>
      <c r="AA19" t="s">
        <v>40</v>
      </c>
      <c r="AB19" t="s">
        <v>40</v>
      </c>
      <c r="AC19" t="s">
        <v>41</v>
      </c>
      <c r="AD19" t="s">
        <v>40</v>
      </c>
      <c r="AE19" t="s">
        <v>40</v>
      </c>
    </row>
    <row r="20" spans="1:31" x14ac:dyDescent="0.3">
      <c r="A20" t="s">
        <v>64</v>
      </c>
      <c r="B20" t="s">
        <v>40</v>
      </c>
      <c r="C20" t="s">
        <v>41</v>
      </c>
      <c r="D20" t="s">
        <v>40</v>
      </c>
      <c r="E20" t="s">
        <v>40</v>
      </c>
      <c r="F20" t="s">
        <v>41</v>
      </c>
      <c r="G20" t="s">
        <v>40</v>
      </c>
      <c r="H20" t="s">
        <v>40</v>
      </c>
      <c r="I20" t="s">
        <v>41</v>
      </c>
      <c r="J20" t="s">
        <v>40</v>
      </c>
      <c r="K20" t="s">
        <v>40</v>
      </c>
      <c r="L20" t="s">
        <v>41</v>
      </c>
      <c r="M20" t="s">
        <v>40</v>
      </c>
      <c r="N20" t="s">
        <v>40</v>
      </c>
      <c r="O20" t="s">
        <v>41</v>
      </c>
      <c r="P20" t="s">
        <v>40</v>
      </c>
      <c r="Q20" t="s">
        <v>40</v>
      </c>
      <c r="R20" t="s">
        <v>41</v>
      </c>
      <c r="S20" t="s">
        <v>40</v>
      </c>
      <c r="T20" t="s">
        <v>40</v>
      </c>
      <c r="U20" t="s">
        <v>41</v>
      </c>
      <c r="V20" t="s">
        <v>40</v>
      </c>
      <c r="W20" t="s">
        <v>40</v>
      </c>
      <c r="X20" t="s">
        <v>41</v>
      </c>
      <c r="Y20" t="s">
        <v>40</v>
      </c>
      <c r="Z20" t="s">
        <v>40</v>
      </c>
      <c r="AA20" t="s">
        <v>41</v>
      </c>
      <c r="AB20" t="s">
        <v>40</v>
      </c>
      <c r="AC20" t="s">
        <v>40</v>
      </c>
      <c r="AD20" t="s">
        <v>41</v>
      </c>
      <c r="AE20" t="s">
        <v>40</v>
      </c>
    </row>
    <row r="21" spans="1:31" x14ac:dyDescent="0.3">
      <c r="A21" t="s">
        <v>65</v>
      </c>
      <c r="B21" t="s">
        <v>40</v>
      </c>
      <c r="C21" t="s">
        <v>40</v>
      </c>
      <c r="D21" t="s">
        <v>41</v>
      </c>
      <c r="E21" t="s">
        <v>40</v>
      </c>
      <c r="F21" t="s">
        <v>40</v>
      </c>
      <c r="G21" t="s">
        <v>41</v>
      </c>
      <c r="H21" t="s">
        <v>40</v>
      </c>
      <c r="I21" t="s">
        <v>40</v>
      </c>
      <c r="J21" t="s">
        <v>41</v>
      </c>
      <c r="K21" t="s">
        <v>40</v>
      </c>
      <c r="L21" t="s">
        <v>40</v>
      </c>
      <c r="M21" t="s">
        <v>41</v>
      </c>
      <c r="N21" t="s">
        <v>40</v>
      </c>
      <c r="O21" t="s">
        <v>40</v>
      </c>
      <c r="P21" t="s">
        <v>41</v>
      </c>
      <c r="Q21" t="s">
        <v>40</v>
      </c>
      <c r="R21" t="s">
        <v>40</v>
      </c>
      <c r="S21" t="s">
        <v>41</v>
      </c>
      <c r="T21" t="s">
        <v>40</v>
      </c>
      <c r="U21" t="s">
        <v>40</v>
      </c>
      <c r="V21" t="s">
        <v>41</v>
      </c>
      <c r="W21" t="s">
        <v>40</v>
      </c>
      <c r="X21" t="s">
        <v>40</v>
      </c>
      <c r="Y21" t="s">
        <v>41</v>
      </c>
      <c r="Z21" t="s">
        <v>40</v>
      </c>
      <c r="AA21" t="s">
        <v>40</v>
      </c>
      <c r="AB21" t="s">
        <v>41</v>
      </c>
      <c r="AC21" t="s">
        <v>40</v>
      </c>
      <c r="AD21" t="s">
        <v>40</v>
      </c>
      <c r="AE21" t="s">
        <v>41</v>
      </c>
    </row>
    <row r="22" spans="1:31" x14ac:dyDescent="0.3">
      <c r="A22" t="s">
        <v>66</v>
      </c>
      <c r="B22" t="s">
        <v>40</v>
      </c>
      <c r="C22" t="s">
        <v>40</v>
      </c>
      <c r="D22" t="s">
        <v>40</v>
      </c>
      <c r="E22" t="s">
        <v>40</v>
      </c>
      <c r="F22" t="s">
        <v>40</v>
      </c>
      <c r="G22" t="s">
        <v>40</v>
      </c>
      <c r="H22" t="s">
        <v>40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40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40</v>
      </c>
      <c r="X22" t="s">
        <v>40</v>
      </c>
      <c r="Y22" t="s">
        <v>40</v>
      </c>
      <c r="Z22" t="s">
        <v>40</v>
      </c>
      <c r="AA22" t="s">
        <v>40</v>
      </c>
      <c r="AB22" t="s">
        <v>40</v>
      </c>
      <c r="AC22" t="s">
        <v>40</v>
      </c>
      <c r="AD22" t="s">
        <v>40</v>
      </c>
      <c r="AE22" t="s">
        <v>40</v>
      </c>
    </row>
    <row r="23" spans="1:31" x14ac:dyDescent="0.3">
      <c r="A23" t="s">
        <v>67</v>
      </c>
      <c r="B23" t="s">
        <v>40</v>
      </c>
      <c r="C23" t="s">
        <v>41</v>
      </c>
      <c r="D23" t="s">
        <v>40</v>
      </c>
      <c r="E23" t="s">
        <v>40</v>
      </c>
      <c r="F23" t="s">
        <v>41</v>
      </c>
      <c r="G23" t="s">
        <v>40</v>
      </c>
      <c r="H23" t="s">
        <v>40</v>
      </c>
      <c r="I23" t="s">
        <v>41</v>
      </c>
      <c r="J23" t="s">
        <v>40</v>
      </c>
      <c r="K23" t="s">
        <v>40</v>
      </c>
      <c r="L23" t="s">
        <v>41</v>
      </c>
      <c r="M23" t="s">
        <v>40</v>
      </c>
      <c r="N23" t="s">
        <v>40</v>
      </c>
      <c r="O23" t="s">
        <v>41</v>
      </c>
      <c r="P23" t="s">
        <v>40</v>
      </c>
      <c r="Q23" t="s">
        <v>40</v>
      </c>
      <c r="R23" t="s">
        <v>41</v>
      </c>
      <c r="S23" t="s">
        <v>40</v>
      </c>
      <c r="T23" t="s">
        <v>40</v>
      </c>
      <c r="U23" t="s">
        <v>41</v>
      </c>
      <c r="V23" t="s">
        <v>40</v>
      </c>
      <c r="W23" t="s">
        <v>40</v>
      </c>
      <c r="X23" t="s">
        <v>41</v>
      </c>
      <c r="Y23" t="s">
        <v>40</v>
      </c>
      <c r="Z23" t="s">
        <v>40</v>
      </c>
      <c r="AA23" t="s">
        <v>41</v>
      </c>
      <c r="AB23" t="s">
        <v>40</v>
      </c>
      <c r="AC23" t="s">
        <v>40</v>
      </c>
      <c r="AD23" t="s">
        <v>41</v>
      </c>
      <c r="AE23" t="s">
        <v>40</v>
      </c>
    </row>
    <row r="24" spans="1:31" x14ac:dyDescent="0.3">
      <c r="A24" t="s">
        <v>68</v>
      </c>
      <c r="B24" t="s">
        <v>40</v>
      </c>
      <c r="C24" t="s">
        <v>40</v>
      </c>
      <c r="D24" t="s">
        <v>40</v>
      </c>
      <c r="E24" t="s">
        <v>40</v>
      </c>
      <c r="F24" t="s">
        <v>40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40</v>
      </c>
      <c r="P24" t="s">
        <v>40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40</v>
      </c>
      <c r="X24" t="s">
        <v>40</v>
      </c>
      <c r="Y24" t="s">
        <v>40</v>
      </c>
      <c r="Z24" t="s">
        <v>40</v>
      </c>
      <c r="AA24" t="s">
        <v>40</v>
      </c>
      <c r="AB24" t="s">
        <v>40</v>
      </c>
      <c r="AC24" t="s">
        <v>40</v>
      </c>
      <c r="AD24" t="s">
        <v>40</v>
      </c>
      <c r="AE24" t="s">
        <v>40</v>
      </c>
    </row>
    <row r="25" spans="1:31" x14ac:dyDescent="0.3">
      <c r="A25" t="s">
        <v>69</v>
      </c>
      <c r="B25" t="s">
        <v>40</v>
      </c>
      <c r="C25" t="s">
        <v>40</v>
      </c>
      <c r="D25" t="s">
        <v>40</v>
      </c>
      <c r="E25" t="s">
        <v>40</v>
      </c>
      <c r="F25" t="s">
        <v>40</v>
      </c>
      <c r="G25" t="s">
        <v>40</v>
      </c>
      <c r="H25" t="s">
        <v>40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40</v>
      </c>
      <c r="P25" t="s">
        <v>40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40</v>
      </c>
      <c r="X25" t="s">
        <v>40</v>
      </c>
      <c r="Y25" t="s">
        <v>40</v>
      </c>
      <c r="Z25" t="s">
        <v>40</v>
      </c>
      <c r="AA25" t="s">
        <v>40</v>
      </c>
      <c r="AB25" t="s">
        <v>40</v>
      </c>
      <c r="AC25" t="s">
        <v>40</v>
      </c>
      <c r="AD25" t="s">
        <v>40</v>
      </c>
      <c r="AE25" t="s">
        <v>40</v>
      </c>
    </row>
    <row r="26" spans="1:31" x14ac:dyDescent="0.3">
      <c r="A26" t="s">
        <v>70</v>
      </c>
      <c r="B26" t="s">
        <v>40</v>
      </c>
      <c r="C26" t="s">
        <v>40</v>
      </c>
      <c r="D26" t="s">
        <v>40</v>
      </c>
      <c r="E26" t="s">
        <v>40</v>
      </c>
      <c r="F26" t="s">
        <v>40</v>
      </c>
      <c r="G26" t="s">
        <v>40</v>
      </c>
      <c r="H26" t="s">
        <v>40</v>
      </c>
      <c r="I26" t="s">
        <v>40</v>
      </c>
      <c r="J26" t="s">
        <v>40</v>
      </c>
      <c r="K26" t="s">
        <v>40</v>
      </c>
      <c r="L26" t="s">
        <v>40</v>
      </c>
      <c r="M26" t="s">
        <v>40</v>
      </c>
      <c r="N26" t="s">
        <v>40</v>
      </c>
      <c r="O26" t="s">
        <v>40</v>
      </c>
      <c r="P26" t="s">
        <v>40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40</v>
      </c>
      <c r="X26" t="s">
        <v>40</v>
      </c>
      <c r="Y26" t="s">
        <v>40</v>
      </c>
      <c r="Z26" t="s">
        <v>40</v>
      </c>
      <c r="AA26" t="s">
        <v>40</v>
      </c>
      <c r="AB26" t="s">
        <v>40</v>
      </c>
      <c r="AC26" t="s">
        <v>40</v>
      </c>
      <c r="AD26" t="s">
        <v>40</v>
      </c>
      <c r="AE26" t="s">
        <v>40</v>
      </c>
    </row>
    <row r="27" spans="1:31" x14ac:dyDescent="0.3">
      <c r="A27" t="s">
        <v>71</v>
      </c>
      <c r="B27" t="s">
        <v>40</v>
      </c>
      <c r="C27" t="s">
        <v>41</v>
      </c>
      <c r="D27" t="s">
        <v>41</v>
      </c>
      <c r="E27" t="s">
        <v>40</v>
      </c>
      <c r="F27" t="s">
        <v>41</v>
      </c>
      <c r="G27" t="s">
        <v>41</v>
      </c>
      <c r="H27" t="s">
        <v>40</v>
      </c>
      <c r="I27" t="s">
        <v>41</v>
      </c>
      <c r="J27" t="s">
        <v>41</v>
      </c>
      <c r="K27" t="s">
        <v>40</v>
      </c>
      <c r="L27" t="s">
        <v>41</v>
      </c>
      <c r="M27" t="s">
        <v>41</v>
      </c>
      <c r="N27" t="s">
        <v>40</v>
      </c>
      <c r="O27" t="s">
        <v>41</v>
      </c>
      <c r="P27" t="s">
        <v>41</v>
      </c>
      <c r="Q27" t="s">
        <v>40</v>
      </c>
      <c r="R27" t="s">
        <v>41</v>
      </c>
      <c r="S27" t="s">
        <v>41</v>
      </c>
      <c r="T27" t="s">
        <v>40</v>
      </c>
      <c r="U27" t="s">
        <v>41</v>
      </c>
      <c r="V27" t="s">
        <v>41</v>
      </c>
      <c r="W27" t="s">
        <v>40</v>
      </c>
      <c r="X27" t="s">
        <v>41</v>
      </c>
      <c r="Y27" t="s">
        <v>41</v>
      </c>
      <c r="Z27" t="s">
        <v>40</v>
      </c>
      <c r="AA27" t="s">
        <v>41</v>
      </c>
      <c r="AB27" t="s">
        <v>41</v>
      </c>
      <c r="AC27" t="s">
        <v>40</v>
      </c>
      <c r="AD27" t="s">
        <v>41</v>
      </c>
      <c r="AE27" t="s">
        <v>41</v>
      </c>
    </row>
    <row r="28" spans="1:31" x14ac:dyDescent="0.3">
      <c r="A28" t="s">
        <v>72</v>
      </c>
      <c r="B28" t="s">
        <v>40</v>
      </c>
      <c r="C28" t="s">
        <v>40</v>
      </c>
      <c r="D28" t="s">
        <v>40</v>
      </c>
      <c r="E28" t="s">
        <v>40</v>
      </c>
      <c r="F28" t="s">
        <v>40</v>
      </c>
      <c r="G28" t="s">
        <v>40</v>
      </c>
      <c r="H28" t="s">
        <v>40</v>
      </c>
      <c r="I28" t="s">
        <v>40</v>
      </c>
      <c r="J28" t="s">
        <v>40</v>
      </c>
      <c r="K28" t="s">
        <v>40</v>
      </c>
      <c r="L28" t="s">
        <v>40</v>
      </c>
      <c r="M28" t="s">
        <v>40</v>
      </c>
      <c r="N28" t="s">
        <v>40</v>
      </c>
      <c r="O28" t="s">
        <v>40</v>
      </c>
      <c r="P28" t="s">
        <v>40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40</v>
      </c>
      <c r="X28" t="s">
        <v>40</v>
      </c>
      <c r="Y28" t="s">
        <v>40</v>
      </c>
      <c r="Z28" t="s">
        <v>40</v>
      </c>
      <c r="AA28" t="s">
        <v>40</v>
      </c>
      <c r="AB28" t="s">
        <v>40</v>
      </c>
      <c r="AC28" t="s">
        <v>40</v>
      </c>
      <c r="AD28" t="s">
        <v>40</v>
      </c>
      <c r="AE28" t="s">
        <v>40</v>
      </c>
    </row>
    <row r="29" spans="1:31" x14ac:dyDescent="0.3">
      <c r="A29" t="s">
        <v>73</v>
      </c>
      <c r="B29" t="s">
        <v>40</v>
      </c>
      <c r="C29" t="s">
        <v>41</v>
      </c>
      <c r="D29" t="s">
        <v>40</v>
      </c>
      <c r="E29" t="s">
        <v>40</v>
      </c>
      <c r="F29" t="s">
        <v>41</v>
      </c>
      <c r="G29" t="s">
        <v>40</v>
      </c>
      <c r="H29" t="s">
        <v>40</v>
      </c>
      <c r="I29" t="s">
        <v>41</v>
      </c>
      <c r="J29" t="s">
        <v>40</v>
      </c>
      <c r="K29" t="s">
        <v>40</v>
      </c>
      <c r="L29" t="s">
        <v>41</v>
      </c>
      <c r="M29" t="s">
        <v>40</v>
      </c>
      <c r="N29" t="s">
        <v>40</v>
      </c>
      <c r="O29" t="s">
        <v>41</v>
      </c>
      <c r="P29" t="s">
        <v>40</v>
      </c>
      <c r="Q29" t="s">
        <v>40</v>
      </c>
      <c r="R29" t="s">
        <v>41</v>
      </c>
      <c r="S29" t="s">
        <v>40</v>
      </c>
      <c r="T29" t="s">
        <v>40</v>
      </c>
      <c r="U29" t="s">
        <v>41</v>
      </c>
      <c r="V29" t="s">
        <v>40</v>
      </c>
      <c r="W29" t="s">
        <v>40</v>
      </c>
      <c r="X29" t="s">
        <v>41</v>
      </c>
      <c r="Y29" t="s">
        <v>40</v>
      </c>
      <c r="Z29" t="s">
        <v>40</v>
      </c>
      <c r="AA29" t="s">
        <v>41</v>
      </c>
      <c r="AB29" t="s">
        <v>40</v>
      </c>
      <c r="AC29" t="s">
        <v>40</v>
      </c>
      <c r="AD29" t="s">
        <v>41</v>
      </c>
      <c r="AE29" t="s">
        <v>40</v>
      </c>
    </row>
    <row r="30" spans="1:31" x14ac:dyDescent="0.3">
      <c r="A30" t="s">
        <v>74</v>
      </c>
      <c r="B30" t="s">
        <v>40</v>
      </c>
      <c r="C30" t="s">
        <v>40</v>
      </c>
      <c r="D30" t="s">
        <v>40</v>
      </c>
      <c r="E30" t="s">
        <v>40</v>
      </c>
      <c r="F30" t="s">
        <v>40</v>
      </c>
      <c r="G30" t="s">
        <v>40</v>
      </c>
      <c r="H30" t="s">
        <v>40</v>
      </c>
      <c r="I30" t="s">
        <v>40</v>
      </c>
      <c r="J30" t="s">
        <v>40</v>
      </c>
      <c r="K30" t="s">
        <v>40</v>
      </c>
      <c r="L30" t="s">
        <v>40</v>
      </c>
      <c r="M30" t="s">
        <v>40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40</v>
      </c>
      <c r="X30" t="s">
        <v>40</v>
      </c>
      <c r="Y30" t="s">
        <v>40</v>
      </c>
      <c r="Z30" t="s">
        <v>40</v>
      </c>
      <c r="AA30" t="s">
        <v>40</v>
      </c>
      <c r="AB30" t="s">
        <v>40</v>
      </c>
      <c r="AC30" t="s">
        <v>40</v>
      </c>
      <c r="AD30" t="s">
        <v>40</v>
      </c>
      <c r="AE30" t="s">
        <v>40</v>
      </c>
    </row>
    <row r="31" spans="1:31" x14ac:dyDescent="0.3">
      <c r="A31" t="s">
        <v>75</v>
      </c>
      <c r="B31" t="s">
        <v>40</v>
      </c>
      <c r="C31" t="s">
        <v>40</v>
      </c>
      <c r="D31" t="s">
        <v>40</v>
      </c>
      <c r="E31" t="s">
        <v>40</v>
      </c>
      <c r="F31" t="s">
        <v>40</v>
      </c>
      <c r="G31" t="s">
        <v>40</v>
      </c>
      <c r="H31" t="s">
        <v>40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40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40</v>
      </c>
      <c r="X31" t="s">
        <v>40</v>
      </c>
      <c r="Y31" t="s">
        <v>40</v>
      </c>
      <c r="Z31" t="s">
        <v>40</v>
      </c>
      <c r="AA31" t="s">
        <v>40</v>
      </c>
      <c r="AB31" t="s">
        <v>40</v>
      </c>
      <c r="AC31" t="s">
        <v>40</v>
      </c>
      <c r="AD31" t="s">
        <v>40</v>
      </c>
      <c r="AE31" t="s">
        <v>40</v>
      </c>
    </row>
  </sheetData>
  <phoneticPr fontId="2" type="noConversion"/>
  <conditionalFormatting sqref="A2:AE31">
    <cfRule type="containsText" dxfId="6" priority="1" operator="containsText" text="P">
      <formula>NOT(ISERROR(SEARCH("P",A2)))</formula>
    </cfRule>
    <cfRule type="containsText" dxfId="5" priority="2" operator="containsText" text="A">
      <formula>NOT(ISERROR(SEARCH("A",A2)))</formula>
    </cfRule>
    <cfRule type="containsText" dxfId="4" priority="4" operator="containsText" text="a">
      <formula>NOT(ISERROR(SEARCH("a",A2)))</formula>
    </cfRule>
  </conditionalFormatting>
  <conditionalFormatting sqref="AD8">
    <cfRule type="containsText" dxfId="3" priority="3" operator="containsText" text="P">
      <formula>NOT(ISERROR(SEARCH("P",AD8)))</formula>
    </cfRule>
  </conditionalFormatting>
  <dataValidations count="1">
    <dataValidation type="list" allowBlank="1" showInputMessage="1" showErrorMessage="1" sqref="B2:AE31" xr:uid="{2DBC67C6-7757-47F8-8885-8BB79B46B353}">
      <formula1>"P,A,L"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6C18-A838-40CB-B810-A073344C961B}">
  <dimension ref="A1:H31"/>
  <sheetViews>
    <sheetView tabSelected="1" zoomScale="65" zoomScaleNormal="63" workbookViewId="0">
      <selection activeCell="H9" sqref="H9"/>
    </sheetView>
  </sheetViews>
  <sheetFormatPr defaultRowHeight="14.4" x14ac:dyDescent="0.3"/>
  <cols>
    <col min="2" max="2" width="11.33203125" customWidth="1"/>
    <col min="3" max="3" width="11.21875" customWidth="1"/>
    <col min="4" max="4" width="12.44140625" customWidth="1"/>
    <col min="5" max="5" width="11.44140625" customWidth="1"/>
    <col min="6" max="6" width="12.21875" customWidth="1"/>
    <col min="7" max="7" width="12.6640625" customWidth="1"/>
    <col min="8" max="8" width="13.44140625" customWidth="1"/>
  </cols>
  <sheetData>
    <row r="1" spans="1:8" x14ac:dyDescent="0.3">
      <c r="A1" s="2" t="s">
        <v>0</v>
      </c>
      <c r="B1" s="2" t="s">
        <v>1</v>
      </c>
      <c r="C1" s="2" t="s">
        <v>42</v>
      </c>
      <c r="D1" s="2" t="s">
        <v>43</v>
      </c>
      <c r="E1" s="4" t="s">
        <v>5</v>
      </c>
      <c r="F1" s="4" t="s">
        <v>44</v>
      </c>
      <c r="G1" s="4" t="s">
        <v>45</v>
      </c>
      <c r="H1" s="4" t="s">
        <v>46</v>
      </c>
    </row>
    <row r="2" spans="1:8" x14ac:dyDescent="0.3">
      <c r="A2" s="3" t="str">
        <f>Employee_details!A2</f>
        <v>E101</v>
      </c>
      <c r="B2" s="3" t="s">
        <v>7</v>
      </c>
      <c r="C2" s="3">
        <f>COUNTIF(Attendance!B2:AE2,"P")</f>
        <v>20</v>
      </c>
      <c r="D2" s="3">
        <f>COUNTIF(Attendance!B2:AE2,"A")</f>
        <v>10</v>
      </c>
      <c r="E2" s="5">
        <f>VLOOKUP(A2,Employee_details!A:F,6,FALSE)</f>
        <v>1000</v>
      </c>
      <c r="F2" s="5">
        <f>C2*E2</f>
        <v>20000</v>
      </c>
      <c r="G2" s="5">
        <f>D2*E2</f>
        <v>10000</v>
      </c>
      <c r="H2" s="6">
        <f>H3-G2</f>
        <v>14990</v>
      </c>
    </row>
    <row r="3" spans="1:8" x14ac:dyDescent="0.3">
      <c r="A3" s="3" t="str">
        <f>Employee_details!A3</f>
        <v>E102</v>
      </c>
      <c r="B3" s="3" t="s">
        <v>76</v>
      </c>
      <c r="C3" s="3">
        <f>COUNTIF(Attendance!B3:AE3,"P")</f>
        <v>30</v>
      </c>
      <c r="D3" s="3">
        <f>COUNTIF(Attendance!B3:AE3,"A")</f>
        <v>0</v>
      </c>
      <c r="E3" s="5">
        <f>VLOOKUP(A3,Employee_details!A:F,6,FALSE)</f>
        <v>833</v>
      </c>
      <c r="F3" s="5">
        <f t="shared" ref="F3:F31" si="0">C3*E3</f>
        <v>24990</v>
      </c>
      <c r="G3" s="5">
        <f t="shared" ref="G3:G31" si="1">D3*E3</f>
        <v>0</v>
      </c>
      <c r="H3" s="5">
        <f t="shared" ref="H3:H31" si="2">F3-G3</f>
        <v>24990</v>
      </c>
    </row>
    <row r="4" spans="1:8" x14ac:dyDescent="0.3">
      <c r="A4" s="3" t="str">
        <f>Employee_details!A4</f>
        <v>E103</v>
      </c>
      <c r="B4" s="3" t="s">
        <v>78</v>
      </c>
      <c r="C4" s="3">
        <f>COUNTIF(Attendance!B4:AE4,"P")</f>
        <v>30</v>
      </c>
      <c r="D4" s="3">
        <f>COUNTIF(Attendance!B4:AE4,"A")</f>
        <v>0</v>
      </c>
      <c r="E4" s="5">
        <f>VLOOKUP(A4,Employee_details!A:F,6,FALSE)</f>
        <v>933</v>
      </c>
      <c r="F4" s="5">
        <f t="shared" si="0"/>
        <v>27990</v>
      </c>
      <c r="G4" s="5">
        <f t="shared" si="1"/>
        <v>0</v>
      </c>
      <c r="H4" s="5">
        <f t="shared" si="2"/>
        <v>27990</v>
      </c>
    </row>
    <row r="5" spans="1:8" x14ac:dyDescent="0.3">
      <c r="A5" s="3" t="str">
        <f>Employee_details!A5</f>
        <v>E104</v>
      </c>
      <c r="B5" s="3" t="s">
        <v>77</v>
      </c>
      <c r="C5" s="3">
        <f>COUNTIF(Attendance!B5:AE5,"P")</f>
        <v>20</v>
      </c>
      <c r="D5" s="3">
        <f>COUNTIF(Attendance!B5:AE5,"A")</f>
        <v>10</v>
      </c>
      <c r="E5" s="5">
        <f>VLOOKUP(A5,Employee_details!A:F,6,FALSE)</f>
        <v>900</v>
      </c>
      <c r="F5" s="5">
        <f t="shared" si="0"/>
        <v>18000</v>
      </c>
      <c r="G5" s="5">
        <f t="shared" si="1"/>
        <v>9000</v>
      </c>
      <c r="H5" s="5">
        <f t="shared" si="2"/>
        <v>9000</v>
      </c>
    </row>
    <row r="6" spans="1:8" x14ac:dyDescent="0.3">
      <c r="A6" s="3" t="str">
        <f>Employee_details!A6</f>
        <v>E105</v>
      </c>
      <c r="B6" s="3" t="s">
        <v>79</v>
      </c>
      <c r="C6" s="3">
        <f>COUNTIF(Attendance!B6:AE6,"P")</f>
        <v>30</v>
      </c>
      <c r="D6" s="3">
        <f>COUNTIF(Attendance!B6:AE6,"A")</f>
        <v>0</v>
      </c>
      <c r="E6" s="5">
        <f>VLOOKUP(A6,Employee_details!A:F,6,FALSE)</f>
        <v>866</v>
      </c>
      <c r="F6" s="5">
        <f t="shared" si="0"/>
        <v>25980</v>
      </c>
      <c r="G6" s="5">
        <f t="shared" si="1"/>
        <v>0</v>
      </c>
      <c r="H6" s="5">
        <f t="shared" si="2"/>
        <v>25980</v>
      </c>
    </row>
    <row r="7" spans="1:8" x14ac:dyDescent="0.3">
      <c r="A7" s="3" t="str">
        <f>Employee_details!A7</f>
        <v>E106</v>
      </c>
      <c r="B7" s="3" t="s">
        <v>80</v>
      </c>
      <c r="C7" s="3">
        <f>COUNTIF(Attendance!B7:AE7,"P")</f>
        <v>30</v>
      </c>
      <c r="D7" s="3">
        <f>COUNTIF(Attendance!B7:AE7,"A")</f>
        <v>0</v>
      </c>
      <c r="E7" s="5">
        <f>VLOOKUP(A7,Employee_details!A:F,6,FALSE)</f>
        <v>766</v>
      </c>
      <c r="F7" s="5">
        <f t="shared" si="0"/>
        <v>22980</v>
      </c>
      <c r="G7" s="5">
        <f t="shared" si="1"/>
        <v>0</v>
      </c>
      <c r="H7" s="5">
        <f t="shared" si="2"/>
        <v>22980</v>
      </c>
    </row>
    <row r="8" spans="1:8" x14ac:dyDescent="0.3">
      <c r="A8" s="3" t="str">
        <f>Employee_details!A8</f>
        <v>E107</v>
      </c>
      <c r="B8" s="3" t="s">
        <v>81</v>
      </c>
      <c r="C8" s="3">
        <f>COUNTIF(Attendance!B8:AE8,"P")</f>
        <v>30</v>
      </c>
      <c r="D8" s="3">
        <f>COUNTIF(Attendance!B8:AE8,"A")</f>
        <v>0</v>
      </c>
      <c r="E8" s="5">
        <f>VLOOKUP(A8,Employee_details!A:F,6,FALSE)</f>
        <v>1000</v>
      </c>
      <c r="F8" s="5">
        <f t="shared" si="0"/>
        <v>30000</v>
      </c>
      <c r="G8" s="5">
        <f t="shared" si="1"/>
        <v>0</v>
      </c>
      <c r="H8" s="5">
        <f t="shared" si="2"/>
        <v>30000</v>
      </c>
    </row>
    <row r="9" spans="1:8" x14ac:dyDescent="0.3">
      <c r="A9" s="3" t="str">
        <f>Employee_details!A9</f>
        <v>E108</v>
      </c>
      <c r="B9" s="3" t="s">
        <v>82</v>
      </c>
      <c r="C9" s="3">
        <f>COUNTIF(Attendance!B9:AE9,"P")</f>
        <v>22</v>
      </c>
      <c r="D9" s="3">
        <f>COUNTIF(Attendance!B9:AE9,"A")</f>
        <v>8</v>
      </c>
      <c r="E9" s="5">
        <f>VLOOKUP(A9,Employee_details!A:F,6,FALSE)</f>
        <v>833</v>
      </c>
      <c r="F9" s="5">
        <f t="shared" si="0"/>
        <v>18326</v>
      </c>
      <c r="G9" s="5">
        <f t="shared" si="1"/>
        <v>6664</v>
      </c>
      <c r="H9" s="5">
        <f t="shared" si="2"/>
        <v>11662</v>
      </c>
    </row>
    <row r="10" spans="1:8" x14ac:dyDescent="0.3">
      <c r="A10" s="3" t="str">
        <f>Employee_details!A10</f>
        <v>E109</v>
      </c>
      <c r="B10" s="3" t="s">
        <v>83</v>
      </c>
      <c r="C10" s="3">
        <f>COUNTIF(Attendance!B10:AE10,"P")</f>
        <v>30</v>
      </c>
      <c r="D10" s="3">
        <f>COUNTIF(Attendance!B10:AE10,"A")</f>
        <v>0</v>
      </c>
      <c r="E10" s="5">
        <f>VLOOKUP(A10,Employee_details!A:F,6,FALSE)</f>
        <v>933</v>
      </c>
      <c r="F10" s="5">
        <f t="shared" si="0"/>
        <v>27990</v>
      </c>
      <c r="G10" s="5">
        <f t="shared" si="1"/>
        <v>0</v>
      </c>
      <c r="H10" s="5">
        <f t="shared" si="2"/>
        <v>27990</v>
      </c>
    </row>
    <row r="11" spans="1:8" x14ac:dyDescent="0.3">
      <c r="A11" s="3" t="str">
        <f>Employee_details!A11</f>
        <v>E110</v>
      </c>
      <c r="B11" s="3" t="s">
        <v>84</v>
      </c>
      <c r="C11" s="3">
        <f>COUNTIF(Attendance!B11:AE11,"P")</f>
        <v>20</v>
      </c>
      <c r="D11" s="3">
        <f>COUNTIF(Attendance!B11:AE11,"A")</f>
        <v>10</v>
      </c>
      <c r="E11" s="5">
        <f>VLOOKUP(A11,Employee_details!A:F,6,FALSE)</f>
        <v>900</v>
      </c>
      <c r="F11" s="5">
        <f t="shared" si="0"/>
        <v>18000</v>
      </c>
      <c r="G11" s="5">
        <f t="shared" si="1"/>
        <v>9000</v>
      </c>
      <c r="H11" s="5">
        <f t="shared" si="2"/>
        <v>9000</v>
      </c>
    </row>
    <row r="12" spans="1:8" x14ac:dyDescent="0.3">
      <c r="A12" s="3" t="str">
        <f>Employee_details!A12</f>
        <v>E111</v>
      </c>
      <c r="B12" s="3" t="s">
        <v>86</v>
      </c>
      <c r="C12" s="3">
        <f>COUNTIF(Attendance!B12:AE12,"P")</f>
        <v>30</v>
      </c>
      <c r="D12" s="3">
        <f>COUNTIF(Attendance!B12:AE12,"A")</f>
        <v>0</v>
      </c>
      <c r="E12" s="5">
        <f>VLOOKUP(A12,Employee_details!A:F,6,FALSE)</f>
        <v>866</v>
      </c>
      <c r="F12" s="5">
        <f t="shared" si="0"/>
        <v>25980</v>
      </c>
      <c r="G12" s="5">
        <f t="shared" si="1"/>
        <v>0</v>
      </c>
      <c r="H12" s="5">
        <f t="shared" si="2"/>
        <v>25980</v>
      </c>
    </row>
    <row r="13" spans="1:8" x14ac:dyDescent="0.3">
      <c r="A13" s="3" t="str">
        <f>Employee_details!A13</f>
        <v>E112</v>
      </c>
      <c r="B13" s="3" t="s">
        <v>85</v>
      </c>
      <c r="C13" s="3">
        <f>COUNTIF(Attendance!B13:AE13,"P")</f>
        <v>30</v>
      </c>
      <c r="D13" s="3">
        <f>COUNTIF(Attendance!B13:AE13,"A")</f>
        <v>0</v>
      </c>
      <c r="E13" s="5">
        <f>VLOOKUP(A13,Employee_details!A:F,6,FALSE)</f>
        <v>766</v>
      </c>
      <c r="F13" s="5">
        <f t="shared" si="0"/>
        <v>22980</v>
      </c>
      <c r="G13" s="5">
        <f t="shared" si="1"/>
        <v>0</v>
      </c>
      <c r="H13" s="5">
        <f t="shared" si="2"/>
        <v>22980</v>
      </c>
    </row>
    <row r="14" spans="1:8" x14ac:dyDescent="0.3">
      <c r="A14" s="3" t="str">
        <f>Employee_details!A14</f>
        <v>E113</v>
      </c>
      <c r="B14" s="3" t="s">
        <v>87</v>
      </c>
      <c r="C14" s="3">
        <f>COUNTIF(Attendance!B14:AE14,"P")</f>
        <v>20</v>
      </c>
      <c r="D14" s="3">
        <f>COUNTIF(Attendance!B14:AE14,"A")</f>
        <v>10</v>
      </c>
      <c r="E14" s="5">
        <f>VLOOKUP(A14,Employee_details!A:F,6,FALSE)</f>
        <v>1000</v>
      </c>
      <c r="F14" s="5">
        <f t="shared" si="0"/>
        <v>20000</v>
      </c>
      <c r="G14" s="5">
        <f t="shared" si="1"/>
        <v>10000</v>
      </c>
      <c r="H14" s="5">
        <f t="shared" si="2"/>
        <v>10000</v>
      </c>
    </row>
    <row r="15" spans="1:8" x14ac:dyDescent="0.3">
      <c r="A15" s="3" t="str">
        <f>Employee_details!A15</f>
        <v>E114</v>
      </c>
      <c r="B15" s="3" t="s">
        <v>88</v>
      </c>
      <c r="C15" s="3">
        <f>COUNTIF(Attendance!B15:AE15,"P")</f>
        <v>20</v>
      </c>
      <c r="D15" s="3">
        <f>COUNTIF(Attendance!B15:AE15,"A")</f>
        <v>10</v>
      </c>
      <c r="E15" s="5">
        <f>VLOOKUP(A15,Employee_details!A:F,6,FALSE)</f>
        <v>833</v>
      </c>
      <c r="F15" s="5">
        <f t="shared" si="0"/>
        <v>16660</v>
      </c>
      <c r="G15" s="5">
        <f t="shared" si="1"/>
        <v>8330</v>
      </c>
      <c r="H15" s="5">
        <f t="shared" si="2"/>
        <v>8330</v>
      </c>
    </row>
    <row r="16" spans="1:8" x14ac:dyDescent="0.3">
      <c r="A16" s="3" t="str">
        <f>Employee_details!A16</f>
        <v>E115</v>
      </c>
      <c r="B16" s="3" t="s">
        <v>89</v>
      </c>
      <c r="C16" s="3">
        <f>COUNTIF(Attendance!B16:AE16,"P")</f>
        <v>20</v>
      </c>
      <c r="D16" s="3">
        <f>COUNTIF(Attendance!B16:AE16,"A")</f>
        <v>10</v>
      </c>
      <c r="E16" s="5">
        <f>VLOOKUP(A16,Employee_details!A:F,6,FALSE)</f>
        <v>933</v>
      </c>
      <c r="F16" s="5">
        <f t="shared" si="0"/>
        <v>18660</v>
      </c>
      <c r="G16" s="5">
        <f t="shared" si="1"/>
        <v>9330</v>
      </c>
      <c r="H16" s="5">
        <f t="shared" si="2"/>
        <v>9330</v>
      </c>
    </row>
    <row r="17" spans="1:8" x14ac:dyDescent="0.3">
      <c r="A17" s="3" t="str">
        <f>Employee_details!A17</f>
        <v>E116</v>
      </c>
      <c r="B17" s="3" t="s">
        <v>90</v>
      </c>
      <c r="C17" s="3">
        <f>COUNTIF(Attendance!B17:AE17,"P")</f>
        <v>30</v>
      </c>
      <c r="D17" s="3">
        <f>COUNTIF(Attendance!B17:AE17,"A")</f>
        <v>0</v>
      </c>
      <c r="E17" s="5">
        <f>VLOOKUP(A17,Employee_details!A:F,6,FALSE)</f>
        <v>900</v>
      </c>
      <c r="F17" s="5">
        <f t="shared" si="0"/>
        <v>27000</v>
      </c>
      <c r="G17" s="5">
        <f t="shared" si="1"/>
        <v>0</v>
      </c>
      <c r="H17" s="5">
        <f t="shared" si="2"/>
        <v>27000</v>
      </c>
    </row>
    <row r="18" spans="1:8" x14ac:dyDescent="0.3">
      <c r="A18" s="3" t="str">
        <f>Employee_details!A18</f>
        <v>E117</v>
      </c>
      <c r="B18" s="3" t="s">
        <v>91</v>
      </c>
      <c r="C18" s="3">
        <f>COUNTIF(Attendance!B18:AE18,"P")</f>
        <v>20</v>
      </c>
      <c r="D18" s="3">
        <f>COUNTIF(Attendance!B18:AE18,"A")</f>
        <v>10</v>
      </c>
      <c r="E18" s="5">
        <f>VLOOKUP(A18,Employee_details!A:F,6,FALSE)</f>
        <v>866</v>
      </c>
      <c r="F18" s="5">
        <f t="shared" si="0"/>
        <v>17320</v>
      </c>
      <c r="G18" s="5">
        <f>D18*E18</f>
        <v>8660</v>
      </c>
      <c r="H18" s="5">
        <f t="shared" si="2"/>
        <v>8660</v>
      </c>
    </row>
    <row r="19" spans="1:8" x14ac:dyDescent="0.3">
      <c r="A19" s="3" t="str">
        <f>Employee_details!A19</f>
        <v>E118</v>
      </c>
      <c r="B19" s="3" t="s">
        <v>92</v>
      </c>
      <c r="C19" s="3">
        <f>COUNTIF(Attendance!B19:AE19,"P")</f>
        <v>20</v>
      </c>
      <c r="D19" s="3">
        <f>COUNTIF(Attendance!B19:AE19,"A")</f>
        <v>10</v>
      </c>
      <c r="E19" s="5">
        <f>VLOOKUP(A19,Employee_details!A:F,6,FALSE)</f>
        <v>766</v>
      </c>
      <c r="F19" s="5">
        <f t="shared" si="0"/>
        <v>15320</v>
      </c>
      <c r="G19" s="5">
        <f t="shared" si="1"/>
        <v>7660</v>
      </c>
      <c r="H19" s="5">
        <f t="shared" si="2"/>
        <v>7660</v>
      </c>
    </row>
    <row r="20" spans="1:8" x14ac:dyDescent="0.3">
      <c r="A20" s="3" t="str">
        <f>Employee_details!A20</f>
        <v>E119</v>
      </c>
      <c r="B20" s="3" t="s">
        <v>93</v>
      </c>
      <c r="C20" s="3">
        <f>COUNTIF(Attendance!B20:AE20,"P")</f>
        <v>20</v>
      </c>
      <c r="D20" s="3">
        <f>COUNTIF(Attendance!B20:AE20,"A")</f>
        <v>10</v>
      </c>
      <c r="E20" s="5">
        <f>VLOOKUP(A20,Employee_details!A:F,6,FALSE)</f>
        <v>1000</v>
      </c>
      <c r="F20" s="5">
        <f t="shared" si="0"/>
        <v>20000</v>
      </c>
      <c r="G20" s="5">
        <f t="shared" si="1"/>
        <v>10000</v>
      </c>
      <c r="H20" s="5">
        <f t="shared" si="2"/>
        <v>10000</v>
      </c>
    </row>
    <row r="21" spans="1:8" x14ac:dyDescent="0.3">
      <c r="A21" s="3" t="str">
        <f>Employee_details!A21</f>
        <v>E120</v>
      </c>
      <c r="B21" s="3" t="s">
        <v>94</v>
      </c>
      <c r="C21" s="3">
        <f>COUNTIF(Attendance!B21:AE21,"P")</f>
        <v>20</v>
      </c>
      <c r="D21" s="3">
        <f>COUNTIF(Attendance!B21:AE21,"A")</f>
        <v>10</v>
      </c>
      <c r="E21" s="5">
        <f>VLOOKUP(A21,Employee_details!A:F,6,FALSE)</f>
        <v>833</v>
      </c>
      <c r="F21" s="5">
        <f t="shared" si="0"/>
        <v>16660</v>
      </c>
      <c r="G21" s="5">
        <f t="shared" si="1"/>
        <v>8330</v>
      </c>
      <c r="H21" s="5">
        <f t="shared" si="2"/>
        <v>8330</v>
      </c>
    </row>
    <row r="22" spans="1:8" x14ac:dyDescent="0.3">
      <c r="A22" s="3" t="str">
        <f>Employee_details!A22</f>
        <v>E121</v>
      </c>
      <c r="B22" s="3" t="s">
        <v>95</v>
      </c>
      <c r="C22" s="3">
        <f>COUNTIF(Attendance!B22:AE22,"P")</f>
        <v>30</v>
      </c>
      <c r="D22" s="3">
        <f>COUNTIF(Attendance!B22:AE22,"A")</f>
        <v>0</v>
      </c>
      <c r="E22" s="5">
        <f>VLOOKUP(A22,Employee_details!A:F,6,FALSE)</f>
        <v>933</v>
      </c>
      <c r="F22" s="5">
        <f t="shared" si="0"/>
        <v>27990</v>
      </c>
      <c r="G22" s="5">
        <f t="shared" si="1"/>
        <v>0</v>
      </c>
      <c r="H22" s="5">
        <f t="shared" si="2"/>
        <v>27990</v>
      </c>
    </row>
    <row r="23" spans="1:8" x14ac:dyDescent="0.3">
      <c r="A23" s="3" t="str">
        <f>Employee_details!A23</f>
        <v>E122</v>
      </c>
      <c r="B23" s="3" t="s">
        <v>96</v>
      </c>
      <c r="C23" s="3">
        <f>COUNTIF(Attendance!B23:AE23,"P")</f>
        <v>20</v>
      </c>
      <c r="D23" s="3">
        <f>COUNTIF(Attendance!B23:AE23,"A")</f>
        <v>10</v>
      </c>
      <c r="E23" s="5">
        <f>VLOOKUP(A23,Employee_details!A:F,6,FALSE)</f>
        <v>900</v>
      </c>
      <c r="F23" s="5">
        <f t="shared" si="0"/>
        <v>18000</v>
      </c>
      <c r="G23" s="5">
        <f t="shared" si="1"/>
        <v>9000</v>
      </c>
      <c r="H23" s="5">
        <f t="shared" si="2"/>
        <v>9000</v>
      </c>
    </row>
    <row r="24" spans="1:8" x14ac:dyDescent="0.3">
      <c r="A24" s="3" t="str">
        <f>Employee_details!A24</f>
        <v>E123</v>
      </c>
      <c r="B24" s="3" t="s">
        <v>97</v>
      </c>
      <c r="C24" s="3">
        <f>COUNTIF(Attendance!B24:AE24,"P")</f>
        <v>30</v>
      </c>
      <c r="D24" s="3">
        <f>COUNTIF(Attendance!B24:AE24,"A")</f>
        <v>0</v>
      </c>
      <c r="E24" s="5">
        <f>VLOOKUP(A24,Employee_details!A:F,6,FALSE)</f>
        <v>866</v>
      </c>
      <c r="F24" s="5">
        <f t="shared" si="0"/>
        <v>25980</v>
      </c>
      <c r="G24" s="5">
        <f t="shared" si="1"/>
        <v>0</v>
      </c>
      <c r="H24" s="5">
        <f t="shared" si="2"/>
        <v>25980</v>
      </c>
    </row>
    <row r="25" spans="1:8" x14ac:dyDescent="0.3">
      <c r="A25" s="3" t="str">
        <f>Employee_details!A25</f>
        <v>E124</v>
      </c>
      <c r="B25" s="3" t="s">
        <v>98</v>
      </c>
      <c r="C25" s="3">
        <f>COUNTIF(Attendance!B25:AE25,"P")</f>
        <v>30</v>
      </c>
      <c r="D25" s="3">
        <f>COUNTIF(Attendance!B25:AE25,"A")</f>
        <v>0</v>
      </c>
      <c r="E25" s="5">
        <f>VLOOKUP(A25,Employee_details!A:F,6,FALSE)</f>
        <v>766</v>
      </c>
      <c r="F25" s="5">
        <f t="shared" si="0"/>
        <v>22980</v>
      </c>
      <c r="G25" s="5">
        <f t="shared" si="1"/>
        <v>0</v>
      </c>
      <c r="H25" s="5">
        <f t="shared" si="2"/>
        <v>22980</v>
      </c>
    </row>
    <row r="26" spans="1:8" x14ac:dyDescent="0.3">
      <c r="A26" s="3" t="str">
        <f>Employee_details!A26</f>
        <v>E125</v>
      </c>
      <c r="B26" s="3" t="s">
        <v>99</v>
      </c>
      <c r="C26" s="3">
        <f>COUNTIF(Attendance!B26:AE26,"P")</f>
        <v>30</v>
      </c>
      <c r="D26" s="3">
        <f>COUNTIF(Attendance!B26:AE26,"A")</f>
        <v>0</v>
      </c>
      <c r="E26" s="5">
        <f>VLOOKUP(A26,Employee_details!A:F,6,FALSE)</f>
        <v>1000</v>
      </c>
      <c r="F26" s="5">
        <f t="shared" si="0"/>
        <v>30000</v>
      </c>
      <c r="G26" s="5">
        <f t="shared" si="1"/>
        <v>0</v>
      </c>
      <c r="H26" s="5">
        <f t="shared" si="2"/>
        <v>30000</v>
      </c>
    </row>
    <row r="27" spans="1:8" x14ac:dyDescent="0.3">
      <c r="A27" s="3" t="str">
        <f>Employee_details!A27</f>
        <v>E126</v>
      </c>
      <c r="B27" s="3" t="s">
        <v>100</v>
      </c>
      <c r="C27" s="3">
        <f>COUNTIF(Attendance!B27:AE27,"P")</f>
        <v>10</v>
      </c>
      <c r="D27" s="3">
        <f>COUNTIF(Attendance!B27:AE27,"A")</f>
        <v>20</v>
      </c>
      <c r="E27" s="5">
        <f>VLOOKUP(A27,Employee_details!A:F,6,FALSE)</f>
        <v>833</v>
      </c>
      <c r="F27" s="5">
        <f t="shared" si="0"/>
        <v>8330</v>
      </c>
      <c r="G27" s="5">
        <f t="shared" si="1"/>
        <v>16660</v>
      </c>
      <c r="H27" s="5">
        <f t="shared" si="2"/>
        <v>-8330</v>
      </c>
    </row>
    <row r="28" spans="1:8" x14ac:dyDescent="0.3">
      <c r="A28" s="3" t="str">
        <f>Employee_details!A28</f>
        <v>E127</v>
      </c>
      <c r="B28" s="3" t="s">
        <v>101</v>
      </c>
      <c r="C28" s="3">
        <f>COUNTIF(Attendance!B28:AE28,"P")</f>
        <v>30</v>
      </c>
      <c r="D28" s="3">
        <f>COUNTIF(Attendance!B28:AE28,"A")</f>
        <v>0</v>
      </c>
      <c r="E28" s="5">
        <f>VLOOKUP(A28,Employee_details!A:F,6,FALSE)</f>
        <v>933</v>
      </c>
      <c r="F28" s="5">
        <f t="shared" si="0"/>
        <v>27990</v>
      </c>
      <c r="G28" s="5">
        <f t="shared" si="1"/>
        <v>0</v>
      </c>
      <c r="H28" s="5">
        <f t="shared" si="2"/>
        <v>27990</v>
      </c>
    </row>
    <row r="29" spans="1:8" x14ac:dyDescent="0.3">
      <c r="A29" s="3" t="str">
        <f>Employee_details!A29</f>
        <v>E128</v>
      </c>
      <c r="B29" s="3" t="s">
        <v>102</v>
      </c>
      <c r="C29" s="3">
        <f>COUNTIF(Attendance!B29:AE29,"P")</f>
        <v>20</v>
      </c>
      <c r="D29" s="3">
        <f>COUNTIF(Attendance!B29:AE29,"A")</f>
        <v>10</v>
      </c>
      <c r="E29" s="5">
        <f>VLOOKUP(A29,Employee_details!A:F,6,FALSE)</f>
        <v>900</v>
      </c>
      <c r="F29" s="5">
        <f t="shared" si="0"/>
        <v>18000</v>
      </c>
      <c r="G29" s="5">
        <f t="shared" si="1"/>
        <v>9000</v>
      </c>
      <c r="H29" s="5">
        <f t="shared" si="2"/>
        <v>9000</v>
      </c>
    </row>
    <row r="30" spans="1:8" x14ac:dyDescent="0.3">
      <c r="A30" s="3" t="str">
        <f>Employee_details!A30</f>
        <v>E129</v>
      </c>
      <c r="B30" s="3" t="s">
        <v>103</v>
      </c>
      <c r="C30" s="3">
        <f>COUNTIF(Attendance!B30:AE30,"P")</f>
        <v>30</v>
      </c>
      <c r="D30" s="3">
        <f>COUNTIF(Attendance!B30:AE30,"A")</f>
        <v>0</v>
      </c>
      <c r="E30" s="5">
        <f>VLOOKUP(A30,Employee_details!A:F,6,FALSE)</f>
        <v>866</v>
      </c>
      <c r="F30" s="5">
        <f t="shared" si="0"/>
        <v>25980</v>
      </c>
      <c r="G30" s="5">
        <f t="shared" si="1"/>
        <v>0</v>
      </c>
      <c r="H30" s="5">
        <f t="shared" si="2"/>
        <v>25980</v>
      </c>
    </row>
    <row r="31" spans="1:8" x14ac:dyDescent="0.3">
      <c r="A31" s="3" t="str">
        <f>Employee_details!A31</f>
        <v>E130</v>
      </c>
      <c r="B31" s="3" t="s">
        <v>104</v>
      </c>
      <c r="C31" s="3">
        <f>COUNTIF(Attendance!B31:AE31,"P")</f>
        <v>30</v>
      </c>
      <c r="D31" s="3">
        <f>COUNTIF(Attendance!B31:AE31,"A")</f>
        <v>0</v>
      </c>
      <c r="E31" s="5">
        <f>VLOOKUP(A31,Employee_details!A:F,6,FALSE)</f>
        <v>766</v>
      </c>
      <c r="F31" s="5">
        <f t="shared" si="0"/>
        <v>22980</v>
      </c>
      <c r="G31" s="5">
        <f t="shared" si="1"/>
        <v>0</v>
      </c>
      <c r="H31" s="5">
        <f t="shared" si="2"/>
        <v>22980</v>
      </c>
    </row>
  </sheetData>
  <conditionalFormatting sqref="H1:H31">
    <cfRule type="cellIs" dxfId="2" priority="1" operator="equal">
      <formula>10000</formula>
    </cfRule>
    <cfRule type="cellIs" dxfId="1" priority="2" operator="lessThan">
      <formula>10000</formula>
    </cfRule>
    <cfRule type="cellIs" dxfId="0" priority="3" operator="greaterThan">
      <formula>10000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Employee_details</vt:lpstr>
      <vt:lpstr>Attendance</vt:lpstr>
      <vt:lpstr>Salary_calculation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venumohan</dc:creator>
  <cp:lastModifiedBy>p venumohan</cp:lastModifiedBy>
  <dcterms:created xsi:type="dcterms:W3CDTF">2026-02-07T07:12:39Z</dcterms:created>
  <dcterms:modified xsi:type="dcterms:W3CDTF">2026-02-07T10:13:31Z</dcterms:modified>
</cp:coreProperties>
</file>